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 B\Desktop\Dice_of_Gods\doc\"/>
    </mc:Choice>
  </mc:AlternateContent>
  <xr:revisionPtr revIDLastSave="0" documentId="13_ncr:1_{E88E4C74-6D8D-499A-B15D-F08D4C59B584}" xr6:coauthVersionLast="47" xr6:coauthVersionMax="47" xr10:uidLastSave="{00000000-0000-0000-0000-000000000000}"/>
  <bookViews>
    <workbookView xWindow="-108" yWindow="-108" windowWidth="23256" windowHeight="12456" activeTab="6" xr2:uid="{0139C51A-36D8-4FB0-B647-CB90E1DC24D3}"/>
  </bookViews>
  <sheets>
    <sheet name="Planification" sheetId="1" r:id="rId1"/>
    <sheet name="Sprint 1" sheetId="2" r:id="rId2"/>
    <sheet name="Source" sheetId="8" state="hidden" r:id="rId3"/>
    <sheet name="Sprint 2" sheetId="3" r:id="rId4"/>
    <sheet name="Mi-mandat" sheetId="7" r:id="rId5"/>
    <sheet name="Sprint 3" sheetId="4" r:id="rId6"/>
    <sheet name="Sprint 4" sheetId="5" r:id="rId7"/>
  </sheets>
  <definedNames>
    <definedName name="_xlnm._FilterDatabase" localSheetId="0" hidden="1">Planification!$A$5:$F$101</definedName>
    <definedName name="Responsable">Source!$A$1:$A$3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6" i="5" a="1"/>
  <c r="B6" i="5" s="1"/>
  <c r="B7" i="5" a="1"/>
  <c r="B7" i="5" s="1"/>
  <c r="B8" i="5" a="1"/>
  <c r="B8" i="5" s="1"/>
  <c r="B10" i="5" a="1"/>
  <c r="B10" i="5" s="1"/>
  <c r="B11" i="5" a="1"/>
  <c r="B11" i="5" s="1"/>
  <c r="B20" i="5" a="1"/>
  <c r="B20" i="5" s="1"/>
  <c r="B21" i="5" a="1"/>
  <c r="B21" i="5" s="1"/>
  <c r="B22" i="5" a="1"/>
  <c r="B22" i="5" s="1"/>
  <c r="B23" i="5" a="1"/>
  <c r="B23" i="5" s="1"/>
  <c r="B25" i="5" a="1"/>
  <c r="B25" i="5" s="1"/>
  <c r="B26" i="5" a="1"/>
  <c r="B26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5" i="2" a="1"/>
  <c r="B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<sst xmlns="http://schemas.openxmlformats.org/spreadsheetml/2006/main" count="429" uniqueCount="189">
  <si>
    <t>Planification globale</t>
  </si>
  <si>
    <t>Tâche</t>
  </si>
  <si>
    <t>Sprint visé</t>
  </si>
  <si>
    <t>Sprint 1</t>
  </si>
  <si>
    <t>Priorité</t>
  </si>
  <si>
    <t>Durée prévue (heures)</t>
  </si>
  <si>
    <t>Sprint 2</t>
  </si>
  <si>
    <t>Responsable</t>
  </si>
  <si>
    <t>Temps</t>
  </si>
  <si>
    <t>Avancement</t>
  </si>
  <si>
    <t>Temps (hrs)</t>
  </si>
  <si>
    <t>Avancement (%)</t>
  </si>
  <si>
    <t>Commentaires</t>
  </si>
  <si>
    <t>Semaine A</t>
  </si>
  <si>
    <t>Semaine B</t>
  </si>
  <si>
    <t>Semaine C</t>
  </si>
  <si>
    <t>Sprint 3</t>
  </si>
  <si>
    <t>Sprint 4</t>
  </si>
  <si>
    <t>Semaine D</t>
  </si>
  <si>
    <t>Mi-mandat</t>
  </si>
  <si>
    <t>Ce qui doit être fait…</t>
  </si>
  <si>
    <t>Ce qui est problématique…</t>
  </si>
  <si>
    <t>Document de définition</t>
  </si>
  <si>
    <t>Haute</t>
  </si>
  <si>
    <t>Document de planification</t>
  </si>
  <si>
    <t>Moyenne</t>
  </si>
  <si>
    <t>Fred</t>
  </si>
  <si>
    <t>Hugo</t>
  </si>
  <si>
    <t>Fred &amp; Hugo</t>
  </si>
  <si>
    <t>Diagramme de cas d'usage</t>
  </si>
  <si>
    <t>Diagramme de classe</t>
  </si>
  <si>
    <t>Diagramme des bases de données</t>
  </si>
  <si>
    <t>Maquettes du UI</t>
  </si>
  <si>
    <t>Document de conception</t>
  </si>
  <si>
    <t>Tâches Préalables</t>
  </si>
  <si>
    <t>Reste à finir les exigences</t>
  </si>
  <si>
    <t>Reste à réviser et faire un PDF</t>
  </si>
  <si>
    <t>Terminé</t>
  </si>
  <si>
    <t>No.</t>
  </si>
  <si>
    <t>3, 4, 5, 6</t>
  </si>
  <si>
    <t>Il faut réfléchir aux patrons de conceptions</t>
  </si>
  <si>
    <t>Intégration de command et factory</t>
  </si>
  <si>
    <t>Creation d'un usager</t>
  </si>
  <si>
    <t>Créer un nouveau projet Expo</t>
  </si>
  <si>
    <t>Créer un Game Manager</t>
  </si>
  <si>
    <t>Créer le modèle de jeu (pas de EffectSequence)</t>
  </si>
  <si>
    <t>Créer la page religion</t>
  </si>
  <si>
    <t>Créer la page artefact</t>
  </si>
  <si>
    <t>Basse</t>
  </si>
  <si>
    <t>Command : RollCommand</t>
  </si>
  <si>
    <t>Command : LockCommand</t>
  </si>
  <si>
    <t>Command : UseDiceCommand</t>
  </si>
  <si>
    <t>Command: ForfeitCommand</t>
  </si>
  <si>
    <t>Command : EndPhaseCommand</t>
  </si>
  <si>
    <t>Créer une machine virtuelle Digital Ocean</t>
  </si>
  <si>
    <t>Créer une base de données SQL</t>
  </si>
  <si>
    <t>Créer le DAO dans Game Manager</t>
  </si>
  <si>
    <t>Héberger serveur sur la machine virtuelle</t>
  </si>
  <si>
    <t>Command : ArtifactCommand</t>
  </si>
  <si>
    <t>Command : SummonCommand</t>
  </si>
  <si>
    <t>Creation des effect Sequence</t>
  </si>
  <si>
    <t>Creation du EffectSequence Factory</t>
  </si>
  <si>
    <t>Ajout de gesture (pan, drag &amp; drop) dans les menus</t>
  </si>
  <si>
    <t>Creation des Status Effect et de la Status Phase</t>
  </si>
  <si>
    <t>Ajout de la Prayer Phase (passive effect)</t>
  </si>
  <si>
    <t>Lancer une partie Entraînement (Joueur C. IA)</t>
  </si>
  <si>
    <t>Ajout des parties jouées dans la BD</t>
  </si>
  <si>
    <t>Création de la page Statistiques</t>
  </si>
  <si>
    <t>Implémentation de la Queue</t>
  </si>
  <si>
    <t>Modifier sa religion (UpdateReligionCommand)</t>
  </si>
  <si>
    <t>Modifier ses artefacts (UpdateArtifactCommand)</t>
  </si>
  <si>
    <t>Creation des méthodes de DAO pour les dernières parties jouées</t>
  </si>
  <si>
    <t>Créer la page combat (bouton pour lancer une partie)</t>
  </si>
  <si>
    <t>Créer une page de partie (version basique)</t>
  </si>
  <si>
    <t>Formatage du visuel des artefacts</t>
  </si>
  <si>
    <t>Command : FindMatchCommand (Joueur C. Joueur)</t>
  </si>
  <si>
    <t>Ajout des images pour l'interface de partie (cœur bouclier)</t>
  </si>
  <si>
    <t>Ajout d'animation d'attaque</t>
  </si>
  <si>
    <t>Ajout d'animation de particule pour les status</t>
  </si>
  <si>
    <t>Ajouter plus de religion (6) et d'artefacts (24-30)</t>
  </si>
  <si>
    <t>Command : EnchantCommand</t>
  </si>
  <si>
    <t>Ajouter un chrono (temps de jeu)</t>
  </si>
  <si>
    <t>Ajouter un tutoriel pour les nouveaux usagers</t>
  </si>
  <si>
    <t>Ajouter un menu options (son, choix de langue)</t>
  </si>
  <si>
    <t>Bonifier les gestures de partie (swipe pour roll, drag &amp; drop dé)</t>
  </si>
  <si>
    <t>Ajout de modes de parties (Draft, Chaos)</t>
  </si>
  <si>
    <t>Ajouter des difficultés d'entraînement (Contre IA (State Machine))</t>
  </si>
  <si>
    <t>Ajout d'aide au Build (Artefacts recommandés)</t>
  </si>
  <si>
    <t>Affichage du mouvement des dés en temps réel (interpolation)</t>
  </si>
  <si>
    <t>Extra</t>
  </si>
  <si>
    <t>Match privé</t>
  </si>
  <si>
    <t>9, 10</t>
  </si>
  <si>
    <t>Rendre le temps du chrono dynamique</t>
  </si>
  <si>
    <t>19, 12</t>
  </si>
  <si>
    <t>19, 12, 21</t>
  </si>
  <si>
    <t>Création de l'interface de Command et sérialisation (Client -&gt; Node.js)</t>
  </si>
  <si>
    <t>42, 44</t>
  </si>
  <si>
    <t>Expo Globale avec Navbar à custom dans Sprint 4</t>
  </si>
  <si>
    <t>Intégration du web socket dans Expo</t>
  </si>
  <si>
    <t>À mettre à jour une fois Digital Ocean fonctionnel, il s'agit d'un service avec un ContextProvider</t>
  </si>
  <si>
    <t>Éviter de construire de bas en haut, commencer avec partie et GameManager</t>
  </si>
  <si>
    <t>Mise en place de Command Factory</t>
  </si>
  <si>
    <t>Faut brancher les phases de jeu avec la fin du Timer</t>
  </si>
  <si>
    <t>Fonctionnel (Gesture à améliorer au sprint 4</t>
  </si>
  <si>
    <t>Reste à intégrer les visuels des statistiques du joueur</t>
  </si>
  <si>
    <t>Affichage des dés et possibiliter d'envoyer roll et lock command</t>
  </si>
  <si>
    <t>À faire dans Sprint 3 une fois que gods et EffectSequence seront prêts</t>
  </si>
  <si>
    <t>Test avec Skia  + intégration d'une flatList d'artefacts</t>
  </si>
  <si>
    <t>Mise en place des phases de jeu et des interactions possible dans le client</t>
  </si>
  <si>
    <t>Reste à clarifier le timing des phases</t>
  </si>
  <si>
    <t>CommandFactory</t>
  </si>
  <si>
    <t>on doir ajouter a la map des commandes legales a chauqes nouvelle commande, mais 100% fonctionnel et generique</t>
  </si>
  <si>
    <t>reception et renvoie des messages (on devrais avior des gameState au lieu de renvoyer seulement l'information qui a été modifié)</t>
  </si>
  <si>
    <t>prototype, appel au serveur</t>
  </si>
  <si>
    <t>on doit bien gérer la déconnexion de la partie, le retour en mémoire de cette derniere et la deconnexion des sockets</t>
  </si>
  <si>
    <t>appel générique des commandes et Singleton, il manque une connexion au DAO, mais ca cest pour les prochains sprints</t>
  </si>
  <si>
    <t>changement de fonctionnements des actions…</t>
  </si>
  <si>
    <t>Il reste à debug le webhook pour automatiser le pull serveur lors d'un push sur main</t>
  </si>
  <si>
    <t>Création de EffectFactory pour mieux gérer les datas venant de src/server/gameData/*.ts</t>
  </si>
  <si>
    <t>la classe StatusEffect a été ajouté à Player, il reste à changer la status Phase pour activer les status ( à faire après Artifact et SummonCommand)</t>
  </si>
  <si>
    <t>Formatage du visuel des GodWidget</t>
  </si>
  <si>
    <t>Il reste à faire un peu de ménage dans le composant et ajouté le EffectSequence</t>
  </si>
  <si>
    <t>Faire des spritesheets( gods, artifacts, icons)</t>
  </si>
  <si>
    <t>Faire un composant générique spritesheet</t>
  </si>
  <si>
    <t>Responsible</t>
  </si>
  <si>
    <t>Ajouter le client dans expoCloud *Très Souhaitable*</t>
  </si>
  <si>
    <t>on ne peut pas lancer l'app sur un telephone autre</t>
  </si>
  <si>
    <t>visuel Lobby</t>
  </si>
  <si>
    <t>Ajouter une présentation agréable au lobby</t>
  </si>
  <si>
    <t>visuel artefact</t>
  </si>
  <si>
    <t>ajouter les artefacts du joueur en haut</t>
  </si>
  <si>
    <t xml:space="preserve">visuel partie </t>
  </si>
  <si>
    <t>ajouter un visuel agréable a la partie</t>
  </si>
  <si>
    <t>CHOCOLAT</t>
  </si>
  <si>
    <t>implementer une logique de jeu pour entrainement</t>
  </si>
  <si>
    <t>l'IA doit pouvoir utiliser un Artefact et un Dieu</t>
  </si>
  <si>
    <t>Ajouter Artrefact</t>
  </si>
  <si>
    <t>Ajouter Gods</t>
  </si>
  <si>
    <t>Ajouter Status Effects</t>
  </si>
  <si>
    <t>formater les effectSequence</t>
  </si>
  <si>
    <t>Connecter le DAO</t>
  </si>
  <si>
    <t>ajouter les religions a chiosir</t>
  </si>
  <si>
    <t>visuel religion</t>
  </si>
  <si>
    <t>matchmaking</t>
  </si>
  <si>
    <t>Ajouter un Tutoriel pour une premiere connexion et un combat mock</t>
  </si>
  <si>
    <t>Statistiques</t>
  </si>
  <si>
    <t>gestures lancent des commandes</t>
  </si>
  <si>
    <t>enum des socketEvents de commande</t>
  </si>
  <si>
    <t>Installé sur le serveur Ubuntu</t>
  </si>
  <si>
    <t>Reste à implémenter sur Server</t>
  </si>
  <si>
    <t>Connection fonctionne, mais il faut un DAO pour les users et les games</t>
  </si>
  <si>
    <t>Il reste les effectSequence, cooldown et dice Combo à ajouter</t>
  </si>
  <si>
    <t>Implémentation des designs de Canva Complété</t>
  </si>
  <si>
    <t>Permet d'avoir un composant générique qui applique une translation horizontale selon le frame index</t>
  </si>
  <si>
    <t>Implémentation des statusEffect</t>
  </si>
  <si>
    <t>Implémentation de la classe Gods</t>
  </si>
  <si>
    <t>Il reste à faire des tests et GodCommand</t>
  </si>
  <si>
    <t>Implémentation de la classe Artifact</t>
  </si>
  <si>
    <t>SwapArtifact Command</t>
  </si>
  <si>
    <t>Fonctionnel</t>
  </si>
  <si>
    <t>Peaufinage du menu Artifact</t>
  </si>
  <si>
    <t>Il reste le petit menu du bas, mais sélection d'artefacts est fonctionnel</t>
  </si>
  <si>
    <t>Peaufinage du lobby</t>
  </si>
  <si>
    <t>Ne pas oublier de connecter FindMatch Command quand elle sera fonctionnel</t>
  </si>
  <si>
    <t>Commande ajoutée et peux etre créée avec la factory</t>
  </si>
  <si>
    <t>Il reste à bien tester en jeu pour que cela fonctionne, mais touts les status sont implémentés et UnitTestés. Le Status Feu est en état temporaire et sera modifié selon le temps</t>
  </si>
  <si>
    <t>Classe Complétée et testée avec JUnit</t>
  </si>
  <si>
    <t>Classe complété, il reste à implémenter avec le GameManager et Command, reste aussi a tirer deux joueurs de meme rang selon le temps d'attente</t>
  </si>
  <si>
    <t>Ajouter une logique pour vérifier si le username est déjà utilisé lors d'un register</t>
  </si>
  <si>
    <t>Prioritaire</t>
  </si>
  <si>
    <t>Chocolat</t>
  </si>
  <si>
    <t>Debug reconnection à une partie</t>
  </si>
  <si>
    <t>Stylisation de la page Partie (ajout d'image pour coeur, bouclier, prayer, roll)</t>
  </si>
  <si>
    <t>Ajouter menu artifact dans la partie (pour déclencher ArtifactCommand)</t>
  </si>
  <si>
    <t>Ajouter menu gods dans la partie (pour déclenecher GodCommand)</t>
  </si>
  <si>
    <t>4 religions et 20 artefacts</t>
  </si>
  <si>
    <t>Ajout de sons et d'un audioPlayer</t>
  </si>
  <si>
    <t>Création du StatusPanel (infos et durée des statusEffect)</t>
  </si>
  <si>
    <t>Animation des composantes lors du SOCKET EVENT ANIMATION</t>
  </si>
  <si>
    <t>Modifier les méta données Application (nom Icone, splashScreen)</t>
  </si>
  <si>
    <t>Gérer le timer pendant les animations</t>
  </si>
  <si>
    <t>Ajouter un bouton règlements et les règlements</t>
  </si>
  <si>
    <t>Page Victoire dans partie (sur GameEnded)</t>
  </si>
  <si>
    <t>Bonifier les action de L'IA</t>
  </si>
  <si>
    <t xml:space="preserve">Ajouter des animations dans la AnimationQueue dans les resolve d'effets et de status </t>
  </si>
  <si>
    <t>implementation du système de ELO/Ranking</t>
  </si>
  <si>
    <t>Debug des fonctionalitées et game loop</t>
  </si>
  <si>
    <t xml:space="preserve"> </t>
  </si>
  <si>
    <t>on pourrais ajouter des reroll et changer le "build" (religion/artefact) du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</si>
</sst>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9" tint="-0.499984740745262"/>
      <name val="Calibri"/>
      <family val="2"/>
      <scheme val="minor"/>
    </font>
    <font>
      <sz val="36"/>
      <color theme="7" tint="-0.499984740745262"/>
      <name val="Calibri"/>
      <family val="2"/>
      <scheme val="minor"/>
    </font>
    <font>
      <sz val="36"/>
      <color theme="4" tint="-0.499984740745262"/>
      <name val="Calibri"/>
      <family val="2"/>
      <scheme val="minor"/>
    </font>
    <font>
      <sz val="36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E0EC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0" xfId="0" applyFont="1" applyFill="1"/>
    <xf numFmtId="0" fontId="0" fillId="0" borderId="2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3" xfId="0" applyBorder="1"/>
    <xf numFmtId="0" fontId="3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  <xf numFmtId="0" fontId="9" fillId="6" borderId="0" xfId="0" applyFont="1" applyFill="1"/>
    <xf numFmtId="0" fontId="3" fillId="2" borderId="0" xfId="0" applyFont="1" applyFill="1" applyAlignment="1">
      <alignment horizont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10" fillId="0" borderId="3" xfId="0" applyFont="1" applyBorder="1"/>
    <xf numFmtId="0" fontId="0" fillId="7" borderId="3" xfId="0" applyFill="1" applyBorder="1"/>
    <xf numFmtId="0" fontId="0" fillId="4" borderId="3" xfId="0" applyFill="1" applyBorder="1" applyAlignment="1">
      <alignment wrapText="1"/>
    </xf>
    <xf numFmtId="0" fontId="0" fillId="4" borderId="0" xfId="0" applyFill="1"/>
    <xf numFmtId="0" fontId="0" fillId="7" borderId="0" xfId="0" applyFill="1"/>
    <xf numFmtId="0" fontId="0" fillId="4" borderId="3" xfId="0" applyFill="1" applyBorder="1"/>
    <xf numFmtId="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5"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AE1BB5"/>
      </font>
      <fill>
        <patternFill>
          <bgColor rgb="FFEBE0EC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BE0EC"/>
      <color rgb="FFAE1BB5"/>
      <color rgb="FFE2AC00"/>
      <color rgb="FFE2E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8864-B157-464B-9C9C-D10C2E7AC6B8}">
  <dimension ref="A1:F101"/>
  <sheetViews>
    <sheetView topLeftCell="A10" workbookViewId="0">
      <selection activeCell="F44" sqref="F44"/>
    </sheetView>
  </sheetViews>
  <sheetFormatPr defaultColWidth="11.5546875" defaultRowHeight="14.4" x14ac:dyDescent="0.3"/>
  <cols>
    <col min="1" max="1" width="8.33203125" customWidth="1"/>
    <col min="2" max="2" width="61" customWidth="1"/>
    <col min="3" max="3" width="21.44140625" style="9" customWidth="1"/>
    <col min="4" max="4" width="15.88671875" style="9" customWidth="1"/>
    <col min="5" max="5" width="25.88671875" style="9" customWidth="1"/>
    <col min="6" max="6" width="20.44140625" style="14" customWidth="1"/>
  </cols>
  <sheetData>
    <row r="1" spans="1:6" ht="44.7" customHeight="1" x14ac:dyDescent="0.85">
      <c r="B1" s="50" t="s">
        <v>0</v>
      </c>
      <c r="C1" s="50"/>
      <c r="D1" s="50"/>
      <c r="E1" s="50"/>
      <c r="F1" s="17"/>
    </row>
    <row r="2" spans="1:6" hidden="1" x14ac:dyDescent="0.3"/>
    <row r="3" spans="1:6" hidden="1" x14ac:dyDescent="0.3"/>
    <row r="4" spans="1:6" hidden="1" x14ac:dyDescent="0.3"/>
    <row r="5" spans="1:6" ht="68.099999999999994" customHeight="1" x14ac:dyDescent="0.3">
      <c r="A5" s="12" t="s">
        <v>38</v>
      </c>
      <c r="B5" s="13" t="s">
        <v>1</v>
      </c>
      <c r="C5" s="11" t="s">
        <v>2</v>
      </c>
      <c r="D5" s="11" t="s">
        <v>4</v>
      </c>
      <c r="E5" s="15" t="s">
        <v>5</v>
      </c>
      <c r="F5" s="12" t="s">
        <v>34</v>
      </c>
    </row>
    <row r="6" spans="1:6" x14ac:dyDescent="0.3">
      <c r="A6" s="14">
        <v>1</v>
      </c>
      <c r="B6" s="2" t="s">
        <v>22</v>
      </c>
      <c r="C6" s="10" t="s">
        <v>3</v>
      </c>
      <c r="D6" s="10" t="s">
        <v>23</v>
      </c>
      <c r="E6" s="16">
        <v>3</v>
      </c>
      <c r="F6" s="18"/>
    </row>
    <row r="7" spans="1:6" x14ac:dyDescent="0.3">
      <c r="A7" s="14">
        <v>2</v>
      </c>
      <c r="B7" s="2" t="s">
        <v>24</v>
      </c>
      <c r="C7" s="10" t="s">
        <v>3</v>
      </c>
      <c r="D7" s="10" t="s">
        <v>23</v>
      </c>
      <c r="E7" s="16">
        <v>2</v>
      </c>
      <c r="F7" s="18"/>
    </row>
    <row r="8" spans="1:6" x14ac:dyDescent="0.3">
      <c r="A8" s="14">
        <v>3</v>
      </c>
      <c r="B8" s="2" t="s">
        <v>29</v>
      </c>
      <c r="C8" s="10" t="s">
        <v>3</v>
      </c>
      <c r="D8" s="10" t="s">
        <v>23</v>
      </c>
      <c r="E8" s="16">
        <v>3</v>
      </c>
      <c r="F8" s="18"/>
    </row>
    <row r="9" spans="1:6" x14ac:dyDescent="0.3">
      <c r="A9" s="14">
        <v>4</v>
      </c>
      <c r="B9" s="2" t="s">
        <v>30</v>
      </c>
      <c r="C9" s="10" t="s">
        <v>3</v>
      </c>
      <c r="D9" s="10" t="s">
        <v>23</v>
      </c>
      <c r="E9" s="16">
        <v>3</v>
      </c>
      <c r="F9" s="18"/>
    </row>
    <row r="10" spans="1:6" x14ac:dyDescent="0.3">
      <c r="A10" s="14">
        <v>5</v>
      </c>
      <c r="B10" s="2" t="s">
        <v>31</v>
      </c>
      <c r="C10" s="10" t="s">
        <v>3</v>
      </c>
      <c r="D10" s="10" t="s">
        <v>23</v>
      </c>
      <c r="E10" s="16">
        <v>3</v>
      </c>
      <c r="F10" s="18"/>
    </row>
    <row r="11" spans="1:6" x14ac:dyDescent="0.3">
      <c r="A11" s="14">
        <v>6</v>
      </c>
      <c r="B11" s="2" t="s">
        <v>32</v>
      </c>
      <c r="C11" s="10" t="s">
        <v>3</v>
      </c>
      <c r="D11" s="10" t="s">
        <v>25</v>
      </c>
      <c r="E11" s="16">
        <v>2.5</v>
      </c>
      <c r="F11" s="18"/>
    </row>
    <row r="12" spans="1:6" x14ac:dyDescent="0.3">
      <c r="A12" s="14">
        <v>7</v>
      </c>
      <c r="B12" s="2" t="s">
        <v>33</v>
      </c>
      <c r="C12" s="10" t="s">
        <v>3</v>
      </c>
      <c r="D12" s="10" t="s">
        <v>25</v>
      </c>
      <c r="E12" s="16">
        <v>2</v>
      </c>
      <c r="F12" s="18" t="s">
        <v>39</v>
      </c>
    </row>
    <row r="13" spans="1:6" x14ac:dyDescent="0.3">
      <c r="A13" s="14">
        <v>9</v>
      </c>
      <c r="B13" s="2" t="s">
        <v>43</v>
      </c>
      <c r="C13" s="10" t="s">
        <v>6</v>
      </c>
      <c r="D13" s="10" t="s">
        <v>23</v>
      </c>
      <c r="E13" s="16">
        <v>4</v>
      </c>
      <c r="F13" s="18"/>
    </row>
    <row r="14" spans="1:6" x14ac:dyDescent="0.3">
      <c r="A14" s="14">
        <v>10</v>
      </c>
      <c r="B14" s="2" t="s">
        <v>44</v>
      </c>
      <c r="C14" s="10" t="s">
        <v>6</v>
      </c>
      <c r="D14" s="10" t="s">
        <v>23</v>
      </c>
      <c r="E14" s="16">
        <v>6</v>
      </c>
      <c r="F14" s="18"/>
    </row>
    <row r="15" spans="1:6" x14ac:dyDescent="0.3">
      <c r="A15" s="14">
        <v>12</v>
      </c>
      <c r="B15" s="2" t="s">
        <v>45</v>
      </c>
      <c r="C15" s="10" t="s">
        <v>6</v>
      </c>
      <c r="D15" s="10" t="s">
        <v>23</v>
      </c>
      <c r="E15" s="16">
        <v>7</v>
      </c>
      <c r="F15" s="18">
        <v>10</v>
      </c>
    </row>
    <row r="16" spans="1:6" x14ac:dyDescent="0.3">
      <c r="A16" s="14">
        <v>21</v>
      </c>
      <c r="B16" s="2" t="s">
        <v>49</v>
      </c>
      <c r="C16" s="10" t="s">
        <v>6</v>
      </c>
      <c r="D16" s="10" t="s">
        <v>23</v>
      </c>
      <c r="E16" s="16">
        <v>2</v>
      </c>
      <c r="F16" s="18" t="s">
        <v>93</v>
      </c>
    </row>
    <row r="17" spans="1:6" x14ac:dyDescent="0.3">
      <c r="A17" s="14">
        <v>23</v>
      </c>
      <c r="B17" s="2" t="s">
        <v>51</v>
      </c>
      <c r="C17" s="10" t="s">
        <v>6</v>
      </c>
      <c r="D17" s="10" t="s">
        <v>23</v>
      </c>
      <c r="E17" s="16">
        <v>2</v>
      </c>
      <c r="F17" s="18" t="s">
        <v>93</v>
      </c>
    </row>
    <row r="18" spans="1:6" x14ac:dyDescent="0.3">
      <c r="A18" s="14">
        <v>40</v>
      </c>
      <c r="B18" s="2" t="s">
        <v>95</v>
      </c>
      <c r="C18" s="10" t="s">
        <v>6</v>
      </c>
      <c r="D18" s="10" t="s">
        <v>23</v>
      </c>
      <c r="E18" s="16">
        <v>5</v>
      </c>
      <c r="F18" s="18">
        <v>10</v>
      </c>
    </row>
    <row r="19" spans="1:6" x14ac:dyDescent="0.3">
      <c r="A19" s="14">
        <v>39</v>
      </c>
      <c r="B19" s="2" t="s">
        <v>98</v>
      </c>
      <c r="C19" s="10" t="s">
        <v>6</v>
      </c>
      <c r="D19" s="10" t="s">
        <v>23</v>
      </c>
      <c r="E19" s="16">
        <v>4</v>
      </c>
      <c r="F19" s="18"/>
    </row>
    <row r="20" spans="1:6" x14ac:dyDescent="0.3">
      <c r="A20" s="14">
        <v>8</v>
      </c>
      <c r="B20" s="2" t="s">
        <v>42</v>
      </c>
      <c r="C20" s="10" t="s">
        <v>6</v>
      </c>
      <c r="D20" s="10" t="s">
        <v>25</v>
      </c>
      <c r="E20" s="16">
        <v>3</v>
      </c>
      <c r="F20" s="18" t="s">
        <v>91</v>
      </c>
    </row>
    <row r="21" spans="1:6" x14ac:dyDescent="0.3">
      <c r="A21" s="14">
        <v>11</v>
      </c>
      <c r="B21" s="2" t="s">
        <v>65</v>
      </c>
      <c r="C21" s="10" t="s">
        <v>6</v>
      </c>
      <c r="D21" s="10" t="s">
        <v>25</v>
      </c>
      <c r="E21" s="16">
        <v>5</v>
      </c>
      <c r="F21" s="18">
        <v>12</v>
      </c>
    </row>
    <row r="22" spans="1:6" x14ac:dyDescent="0.3">
      <c r="A22" s="14">
        <v>15</v>
      </c>
      <c r="B22" s="2" t="s">
        <v>46</v>
      </c>
      <c r="C22" s="10" t="s">
        <v>6</v>
      </c>
      <c r="D22" s="10" t="s">
        <v>25</v>
      </c>
      <c r="E22" s="16">
        <v>4</v>
      </c>
      <c r="F22" s="18">
        <v>9</v>
      </c>
    </row>
    <row r="23" spans="1:6" x14ac:dyDescent="0.3">
      <c r="A23" s="14">
        <v>16</v>
      </c>
      <c r="B23" s="2" t="s">
        <v>47</v>
      </c>
      <c r="C23" s="10" t="s">
        <v>6</v>
      </c>
      <c r="D23" s="10" t="s">
        <v>25</v>
      </c>
      <c r="E23" s="16">
        <v>4</v>
      </c>
      <c r="F23" s="18">
        <v>9</v>
      </c>
    </row>
    <row r="24" spans="1:6" x14ac:dyDescent="0.3">
      <c r="A24" s="14">
        <v>17</v>
      </c>
      <c r="B24" s="2" t="s">
        <v>72</v>
      </c>
      <c r="C24" s="10" t="s">
        <v>6</v>
      </c>
      <c r="D24" s="10" t="s">
        <v>25</v>
      </c>
      <c r="E24" s="16">
        <v>2</v>
      </c>
      <c r="F24" s="18">
        <v>9</v>
      </c>
    </row>
    <row r="25" spans="1:6" x14ac:dyDescent="0.3">
      <c r="A25" s="14">
        <v>19</v>
      </c>
      <c r="B25" s="2" t="s">
        <v>73</v>
      </c>
      <c r="C25" s="10" t="s">
        <v>6</v>
      </c>
      <c r="D25" s="10" t="s">
        <v>25</v>
      </c>
      <c r="E25" s="16">
        <v>8</v>
      </c>
      <c r="F25" s="18">
        <v>9</v>
      </c>
    </row>
    <row r="26" spans="1:6" x14ac:dyDescent="0.3">
      <c r="A26" s="14">
        <v>22</v>
      </c>
      <c r="B26" s="2" t="s">
        <v>50</v>
      </c>
      <c r="C26" s="10" t="s">
        <v>6</v>
      </c>
      <c r="D26" s="10" t="s">
        <v>25</v>
      </c>
      <c r="E26" s="16">
        <v>2</v>
      </c>
      <c r="F26" s="18" t="s">
        <v>94</v>
      </c>
    </row>
    <row r="27" spans="1:6" x14ac:dyDescent="0.3">
      <c r="A27" s="14">
        <v>13</v>
      </c>
      <c r="B27" s="2" t="s">
        <v>69</v>
      </c>
      <c r="C27" s="10" t="s">
        <v>6</v>
      </c>
      <c r="D27" s="10" t="s">
        <v>48</v>
      </c>
      <c r="E27" s="16">
        <v>2</v>
      </c>
      <c r="F27" s="18">
        <v>15</v>
      </c>
    </row>
    <row r="28" spans="1:6" x14ac:dyDescent="0.3">
      <c r="A28" s="14">
        <v>14</v>
      </c>
      <c r="B28" s="2" t="s">
        <v>70</v>
      </c>
      <c r="C28" s="10" t="s">
        <v>6</v>
      </c>
      <c r="D28" s="10" t="s">
        <v>48</v>
      </c>
      <c r="E28" s="16">
        <v>2</v>
      </c>
      <c r="F28" s="18">
        <v>16</v>
      </c>
    </row>
    <row r="29" spans="1:6" x14ac:dyDescent="0.3">
      <c r="A29" s="14">
        <v>18</v>
      </c>
      <c r="B29" s="2" t="s">
        <v>81</v>
      </c>
      <c r="C29" s="10" t="s">
        <v>6</v>
      </c>
      <c r="D29" s="10" t="s">
        <v>48</v>
      </c>
      <c r="E29" s="16">
        <v>2</v>
      </c>
      <c r="F29" s="18">
        <v>19</v>
      </c>
    </row>
    <row r="30" spans="1:6" x14ac:dyDescent="0.3">
      <c r="A30" s="14">
        <v>20</v>
      </c>
      <c r="B30" s="2" t="s">
        <v>80</v>
      </c>
      <c r="C30" s="10" t="s">
        <v>6</v>
      </c>
      <c r="D30" s="10" t="s">
        <v>48</v>
      </c>
      <c r="E30" s="16">
        <v>2</v>
      </c>
      <c r="F30" s="18" t="s">
        <v>94</v>
      </c>
    </row>
    <row r="31" spans="1:6" x14ac:dyDescent="0.3">
      <c r="A31" s="14">
        <v>24</v>
      </c>
      <c r="B31" s="2" t="s">
        <v>52</v>
      </c>
      <c r="C31" s="10" t="s">
        <v>6</v>
      </c>
      <c r="D31" s="10" t="s">
        <v>48</v>
      </c>
      <c r="E31" s="16">
        <v>2</v>
      </c>
      <c r="F31" s="18">
        <v>19.12</v>
      </c>
    </row>
    <row r="32" spans="1:6" x14ac:dyDescent="0.3">
      <c r="A32" s="14">
        <v>25</v>
      </c>
      <c r="B32" s="2" t="s">
        <v>53</v>
      </c>
      <c r="C32" s="10" t="s">
        <v>6</v>
      </c>
      <c r="D32" s="10" t="s">
        <v>48</v>
      </c>
      <c r="E32" s="16">
        <v>2</v>
      </c>
      <c r="F32" s="18">
        <v>19.12</v>
      </c>
    </row>
    <row r="33" spans="1:6" x14ac:dyDescent="0.3">
      <c r="A33" s="14">
        <v>26</v>
      </c>
      <c r="B33" s="2" t="s">
        <v>64</v>
      </c>
      <c r="C33" s="10" t="s">
        <v>6</v>
      </c>
      <c r="D33" s="10" t="s">
        <v>48</v>
      </c>
      <c r="E33" s="16">
        <v>2</v>
      </c>
      <c r="F33" s="18">
        <v>12</v>
      </c>
    </row>
    <row r="34" spans="1:6" x14ac:dyDescent="0.3">
      <c r="A34" s="14">
        <v>27</v>
      </c>
      <c r="B34" s="2" t="s">
        <v>54</v>
      </c>
      <c r="C34" s="10" t="s">
        <v>16</v>
      </c>
      <c r="D34" s="10" t="s">
        <v>23</v>
      </c>
      <c r="E34" s="16">
        <v>3.5</v>
      </c>
      <c r="F34" s="18"/>
    </row>
    <row r="35" spans="1:6" x14ac:dyDescent="0.3">
      <c r="A35" s="14">
        <v>28</v>
      </c>
      <c r="B35" s="2" t="s">
        <v>55</v>
      </c>
      <c r="C35" s="10" t="s">
        <v>16</v>
      </c>
      <c r="D35" s="10" t="s">
        <v>23</v>
      </c>
      <c r="E35" s="16">
        <v>6</v>
      </c>
      <c r="F35" s="18">
        <v>27</v>
      </c>
    </row>
    <row r="36" spans="1:6" x14ac:dyDescent="0.3">
      <c r="A36" s="14">
        <v>29</v>
      </c>
      <c r="B36" s="2" t="s">
        <v>56</v>
      </c>
      <c r="C36" s="10" t="s">
        <v>16</v>
      </c>
      <c r="D36" s="10" t="s">
        <v>23</v>
      </c>
      <c r="E36" s="16">
        <v>4</v>
      </c>
      <c r="F36" s="18">
        <v>28</v>
      </c>
    </row>
    <row r="37" spans="1:6" x14ac:dyDescent="0.3">
      <c r="A37" s="14">
        <v>30</v>
      </c>
      <c r="B37" s="2" t="s">
        <v>57</v>
      </c>
      <c r="C37" s="10" t="s">
        <v>16</v>
      </c>
      <c r="D37" s="10" t="s">
        <v>23</v>
      </c>
      <c r="E37" s="16">
        <v>8</v>
      </c>
      <c r="F37" s="18">
        <v>27</v>
      </c>
    </row>
    <row r="38" spans="1:6" x14ac:dyDescent="0.3">
      <c r="A38" s="14">
        <v>33</v>
      </c>
      <c r="B38" s="2" t="s">
        <v>75</v>
      </c>
      <c r="C38" s="10" t="s">
        <v>16</v>
      </c>
      <c r="D38" s="10" t="s">
        <v>23</v>
      </c>
      <c r="E38" s="16">
        <v>2</v>
      </c>
      <c r="F38" s="18">
        <v>41</v>
      </c>
    </row>
    <row r="39" spans="1:6" x14ac:dyDescent="0.3">
      <c r="A39" s="14">
        <v>31</v>
      </c>
      <c r="B39" s="2" t="s">
        <v>58</v>
      </c>
      <c r="C39" s="10" t="s">
        <v>16</v>
      </c>
      <c r="D39" s="10" t="s">
        <v>25</v>
      </c>
      <c r="E39" s="16">
        <v>5</v>
      </c>
      <c r="F39" s="18">
        <v>35</v>
      </c>
    </row>
    <row r="40" spans="1:6" x14ac:dyDescent="0.3">
      <c r="A40" s="14">
        <v>32</v>
      </c>
      <c r="B40" s="2" t="s">
        <v>59</v>
      </c>
      <c r="C40" s="10" t="s">
        <v>16</v>
      </c>
      <c r="D40" s="10" t="s">
        <v>25</v>
      </c>
      <c r="E40" s="16">
        <v>3</v>
      </c>
      <c r="F40" s="18">
        <v>35</v>
      </c>
    </row>
    <row r="41" spans="1:6" x14ac:dyDescent="0.3">
      <c r="A41" s="14">
        <v>34</v>
      </c>
      <c r="B41" s="2" t="s">
        <v>60</v>
      </c>
      <c r="C41" s="10" t="s">
        <v>16</v>
      </c>
      <c r="D41" s="10" t="s">
        <v>25</v>
      </c>
      <c r="E41" s="16">
        <v>6</v>
      </c>
      <c r="F41" s="18">
        <v>38</v>
      </c>
    </row>
    <row r="42" spans="1:6" x14ac:dyDescent="0.3">
      <c r="A42" s="14">
        <v>35</v>
      </c>
      <c r="B42" s="2" t="s">
        <v>61</v>
      </c>
      <c r="C42" s="10" t="s">
        <v>16</v>
      </c>
      <c r="D42" s="10" t="s">
        <v>25</v>
      </c>
      <c r="E42" s="16">
        <v>4</v>
      </c>
      <c r="F42" s="18">
        <v>34</v>
      </c>
    </row>
    <row r="43" spans="1:6" x14ac:dyDescent="0.3">
      <c r="A43" s="14">
        <v>37</v>
      </c>
      <c r="B43" s="2" t="s">
        <v>74</v>
      </c>
      <c r="C43" s="10" t="s">
        <v>16</v>
      </c>
      <c r="D43" s="10" t="s">
        <v>25</v>
      </c>
      <c r="E43" s="16">
        <v>6</v>
      </c>
      <c r="F43" s="18">
        <v>28</v>
      </c>
    </row>
    <row r="44" spans="1:6" x14ac:dyDescent="0.3">
      <c r="A44" s="14">
        <v>38</v>
      </c>
      <c r="B44" s="2" t="s">
        <v>63</v>
      </c>
      <c r="C44" s="10" t="s">
        <v>16</v>
      </c>
      <c r="D44" s="10" t="s">
        <v>25</v>
      </c>
      <c r="E44" s="16">
        <v>4</v>
      </c>
      <c r="F44" s="18"/>
    </row>
    <row r="45" spans="1:6" x14ac:dyDescent="0.3">
      <c r="A45" s="14">
        <v>41</v>
      </c>
      <c r="B45" s="2" t="s">
        <v>68</v>
      </c>
      <c r="C45" s="10" t="s">
        <v>16</v>
      </c>
      <c r="D45" s="10" t="s">
        <v>25</v>
      </c>
      <c r="E45" s="16">
        <v>3.5</v>
      </c>
      <c r="F45" s="18"/>
    </row>
    <row r="46" spans="1:6" x14ac:dyDescent="0.3">
      <c r="A46" s="14">
        <v>36</v>
      </c>
      <c r="B46" s="2" t="s">
        <v>62</v>
      </c>
      <c r="C46" s="10" t="s">
        <v>16</v>
      </c>
      <c r="D46" s="10" t="s">
        <v>48</v>
      </c>
      <c r="E46" s="16">
        <v>6</v>
      </c>
      <c r="F46" s="18">
        <v>37</v>
      </c>
    </row>
    <row r="47" spans="1:6" x14ac:dyDescent="0.3">
      <c r="A47" s="14">
        <v>45</v>
      </c>
      <c r="B47" s="2" t="s">
        <v>76</v>
      </c>
      <c r="C47" s="10" t="s">
        <v>17</v>
      </c>
      <c r="D47" s="10" t="s">
        <v>23</v>
      </c>
      <c r="E47" s="16">
        <v>7</v>
      </c>
      <c r="F47" s="18"/>
    </row>
    <row r="48" spans="1:6" x14ac:dyDescent="0.3">
      <c r="A48" s="14">
        <v>42</v>
      </c>
      <c r="B48" s="2" t="s">
        <v>66</v>
      </c>
      <c r="C48" s="10" t="s">
        <v>17</v>
      </c>
      <c r="D48" s="10" t="s">
        <v>25</v>
      </c>
      <c r="E48" s="16">
        <v>3</v>
      </c>
      <c r="F48" s="18"/>
    </row>
    <row r="49" spans="1:6" x14ac:dyDescent="0.3">
      <c r="A49" s="14">
        <v>43</v>
      </c>
      <c r="B49" s="2" t="s">
        <v>67</v>
      </c>
      <c r="C49" s="10" t="s">
        <v>17</v>
      </c>
      <c r="D49" s="10" t="s">
        <v>25</v>
      </c>
      <c r="E49" s="16">
        <v>4</v>
      </c>
      <c r="F49" s="18" t="s">
        <v>96</v>
      </c>
    </row>
    <row r="50" spans="1:6" x14ac:dyDescent="0.3">
      <c r="A50" s="14">
        <v>44</v>
      </c>
      <c r="B50" s="2" t="s">
        <v>71</v>
      </c>
      <c r="C50" s="10" t="s">
        <v>17</v>
      </c>
      <c r="D50" s="10" t="s">
        <v>25</v>
      </c>
      <c r="E50" s="16">
        <v>2</v>
      </c>
      <c r="F50" s="18">
        <v>42</v>
      </c>
    </row>
    <row r="51" spans="1:6" x14ac:dyDescent="0.3">
      <c r="A51" s="14">
        <v>46</v>
      </c>
      <c r="B51" s="2" t="s">
        <v>77</v>
      </c>
      <c r="C51" s="10" t="s">
        <v>17</v>
      </c>
      <c r="D51" s="10" t="s">
        <v>25</v>
      </c>
      <c r="E51" s="16">
        <v>7</v>
      </c>
      <c r="F51" s="18">
        <v>45</v>
      </c>
    </row>
    <row r="52" spans="1:6" x14ac:dyDescent="0.3">
      <c r="A52" s="14">
        <v>48</v>
      </c>
      <c r="B52" s="2" t="s">
        <v>79</v>
      </c>
      <c r="C52" s="10" t="s">
        <v>17</v>
      </c>
      <c r="D52" s="10" t="s">
        <v>25</v>
      </c>
      <c r="E52" s="16">
        <v>5</v>
      </c>
      <c r="F52" s="18"/>
    </row>
    <row r="53" spans="1:6" x14ac:dyDescent="0.3">
      <c r="A53" s="14">
        <v>52</v>
      </c>
      <c r="B53" s="2" t="s">
        <v>84</v>
      </c>
      <c r="C53" s="10" t="s">
        <v>17</v>
      </c>
      <c r="D53" s="10" t="s">
        <v>25</v>
      </c>
      <c r="E53" s="16">
        <v>8</v>
      </c>
      <c r="F53" s="18">
        <v>45</v>
      </c>
    </row>
    <row r="54" spans="1:6" x14ac:dyDescent="0.3">
      <c r="A54" s="14">
        <v>47</v>
      </c>
      <c r="B54" s="2" t="s">
        <v>78</v>
      </c>
      <c r="C54" s="10" t="s">
        <v>17</v>
      </c>
      <c r="D54" s="10" t="s">
        <v>48</v>
      </c>
      <c r="E54" s="16">
        <v>0</v>
      </c>
      <c r="F54" s="18" t="s">
        <v>89</v>
      </c>
    </row>
    <row r="55" spans="1:6" x14ac:dyDescent="0.3">
      <c r="A55" s="14">
        <v>49</v>
      </c>
      <c r="B55" s="2" t="s">
        <v>86</v>
      </c>
      <c r="C55" s="10" t="s">
        <v>17</v>
      </c>
      <c r="D55" s="10" t="s">
        <v>48</v>
      </c>
      <c r="E55" s="16">
        <v>0</v>
      </c>
      <c r="F55" s="18" t="s">
        <v>89</v>
      </c>
    </row>
    <row r="56" spans="1:6" x14ac:dyDescent="0.3">
      <c r="A56" s="14">
        <v>50</v>
      </c>
      <c r="B56" s="2" t="s">
        <v>82</v>
      </c>
      <c r="C56" s="10" t="s">
        <v>17</v>
      </c>
      <c r="D56" s="10" t="s">
        <v>48</v>
      </c>
      <c r="E56" s="16">
        <v>0</v>
      </c>
      <c r="F56" s="18" t="s">
        <v>89</v>
      </c>
    </row>
    <row r="57" spans="1:6" x14ac:dyDescent="0.3">
      <c r="A57" s="14">
        <v>51</v>
      </c>
      <c r="B57" s="2" t="s">
        <v>83</v>
      </c>
      <c r="C57" s="10" t="s">
        <v>17</v>
      </c>
      <c r="D57" s="10" t="s">
        <v>48</v>
      </c>
      <c r="E57" s="16">
        <v>0</v>
      </c>
      <c r="F57" s="18" t="s">
        <v>89</v>
      </c>
    </row>
    <row r="58" spans="1:6" x14ac:dyDescent="0.3">
      <c r="A58" s="14">
        <v>53</v>
      </c>
      <c r="B58" s="2" t="s">
        <v>85</v>
      </c>
      <c r="C58" s="10" t="s">
        <v>17</v>
      </c>
      <c r="D58" s="10" t="s">
        <v>48</v>
      </c>
      <c r="E58" s="16">
        <v>0</v>
      </c>
      <c r="F58" s="18" t="s">
        <v>89</v>
      </c>
    </row>
    <row r="59" spans="1:6" x14ac:dyDescent="0.3">
      <c r="A59" s="14">
        <v>54</v>
      </c>
      <c r="B59" s="2" t="s">
        <v>87</v>
      </c>
      <c r="C59" s="10" t="s">
        <v>17</v>
      </c>
      <c r="D59" s="10" t="s">
        <v>48</v>
      </c>
      <c r="E59" s="16">
        <v>0</v>
      </c>
      <c r="F59" s="18" t="s">
        <v>89</v>
      </c>
    </row>
    <row r="60" spans="1:6" x14ac:dyDescent="0.3">
      <c r="A60" s="14">
        <v>55</v>
      </c>
      <c r="B60" s="2" t="s">
        <v>88</v>
      </c>
      <c r="C60" s="10" t="s">
        <v>17</v>
      </c>
      <c r="D60" s="10" t="s">
        <v>48</v>
      </c>
      <c r="E60" s="16">
        <v>0</v>
      </c>
      <c r="F60" s="18" t="s">
        <v>89</v>
      </c>
    </row>
    <row r="61" spans="1:6" x14ac:dyDescent="0.3">
      <c r="A61" s="14">
        <v>56</v>
      </c>
      <c r="B61" s="2" t="s">
        <v>90</v>
      </c>
      <c r="C61" s="10" t="s">
        <v>17</v>
      </c>
      <c r="D61" s="10" t="s">
        <v>48</v>
      </c>
      <c r="E61" s="16">
        <v>0</v>
      </c>
      <c r="F61" s="18" t="s">
        <v>89</v>
      </c>
    </row>
    <row r="62" spans="1:6" x14ac:dyDescent="0.3">
      <c r="A62" s="14">
        <v>57</v>
      </c>
      <c r="B62" s="2" t="s">
        <v>92</v>
      </c>
      <c r="C62" s="10" t="s">
        <v>17</v>
      </c>
      <c r="D62" s="10" t="s">
        <v>48</v>
      </c>
      <c r="E62" s="16">
        <v>0</v>
      </c>
      <c r="F62" s="18" t="s">
        <v>89</v>
      </c>
    </row>
    <row r="63" spans="1:6" x14ac:dyDescent="0.3">
      <c r="A63" s="14">
        <v>58</v>
      </c>
      <c r="B63" s="2"/>
      <c r="C63" s="10"/>
      <c r="D63" s="10"/>
      <c r="E63" s="16"/>
      <c r="F63" s="18"/>
    </row>
    <row r="64" spans="1:6" x14ac:dyDescent="0.3">
      <c r="A64" s="14">
        <v>59</v>
      </c>
      <c r="B64" s="2"/>
      <c r="C64" s="10"/>
      <c r="D64" s="10"/>
      <c r="E64" s="16"/>
      <c r="F64" s="18"/>
    </row>
    <row r="65" spans="1:6" x14ac:dyDescent="0.3">
      <c r="A65" s="14">
        <v>60</v>
      </c>
      <c r="B65" s="2"/>
      <c r="C65" s="10"/>
      <c r="D65" s="10"/>
      <c r="E65" s="16"/>
      <c r="F65" s="18"/>
    </row>
    <row r="66" spans="1:6" x14ac:dyDescent="0.3">
      <c r="A66" s="14">
        <v>61</v>
      </c>
      <c r="B66" s="2"/>
      <c r="C66" s="10"/>
      <c r="D66" s="10"/>
      <c r="E66" s="16"/>
      <c r="F66" s="18"/>
    </row>
    <row r="67" spans="1:6" x14ac:dyDescent="0.3">
      <c r="A67" s="14">
        <v>62</v>
      </c>
      <c r="B67" s="2"/>
      <c r="C67" s="10"/>
      <c r="D67" s="10"/>
      <c r="E67" s="16"/>
      <c r="F67" s="18"/>
    </row>
    <row r="68" spans="1:6" x14ac:dyDescent="0.3">
      <c r="A68" s="14">
        <v>63</v>
      </c>
      <c r="B68" s="2"/>
      <c r="C68" s="10"/>
      <c r="D68" s="10"/>
      <c r="E68" s="16"/>
      <c r="F68" s="18"/>
    </row>
    <row r="69" spans="1:6" x14ac:dyDescent="0.3">
      <c r="A69" s="14">
        <v>64</v>
      </c>
      <c r="B69" s="2"/>
      <c r="C69" s="10"/>
      <c r="D69" s="10"/>
      <c r="E69" s="16"/>
      <c r="F69" s="18"/>
    </row>
    <row r="70" spans="1:6" x14ac:dyDescent="0.3">
      <c r="A70" s="14">
        <v>65</v>
      </c>
      <c r="B70" s="2"/>
      <c r="C70" s="10"/>
      <c r="D70" s="10"/>
      <c r="E70" s="16"/>
      <c r="F70" s="18"/>
    </row>
    <row r="71" spans="1:6" x14ac:dyDescent="0.3">
      <c r="A71" s="14">
        <v>66</v>
      </c>
      <c r="B71" s="2"/>
      <c r="C71" s="10"/>
      <c r="D71" s="10"/>
      <c r="E71" s="16"/>
      <c r="F71" s="18"/>
    </row>
    <row r="72" spans="1:6" x14ac:dyDescent="0.3">
      <c r="A72" s="14">
        <v>67</v>
      </c>
      <c r="B72" s="2"/>
      <c r="C72" s="10"/>
      <c r="D72" s="10"/>
      <c r="E72" s="16"/>
      <c r="F72" s="18"/>
    </row>
    <row r="73" spans="1:6" x14ac:dyDescent="0.3">
      <c r="A73" s="14">
        <v>68</v>
      </c>
      <c r="B73" s="2"/>
      <c r="C73" s="10"/>
      <c r="D73" s="10"/>
      <c r="E73" s="16"/>
      <c r="F73" s="18"/>
    </row>
    <row r="74" spans="1:6" x14ac:dyDescent="0.3">
      <c r="A74" s="14">
        <v>69</v>
      </c>
      <c r="B74" s="2"/>
      <c r="C74" s="10"/>
      <c r="D74" s="10"/>
      <c r="E74" s="16"/>
      <c r="F74" s="18"/>
    </row>
    <row r="75" spans="1:6" x14ac:dyDescent="0.3">
      <c r="A75" s="14">
        <v>70</v>
      </c>
      <c r="B75" s="2"/>
      <c r="C75" s="10"/>
      <c r="D75" s="10"/>
      <c r="E75" s="16"/>
      <c r="F75" s="18"/>
    </row>
    <row r="76" spans="1:6" x14ac:dyDescent="0.3">
      <c r="A76" s="14">
        <v>71</v>
      </c>
      <c r="B76" s="2"/>
      <c r="C76" s="10"/>
      <c r="D76" s="10"/>
      <c r="E76" s="16"/>
      <c r="F76" s="18"/>
    </row>
    <row r="77" spans="1:6" x14ac:dyDescent="0.3">
      <c r="A77" s="14">
        <v>72</v>
      </c>
      <c r="B77" s="2"/>
      <c r="C77" s="10"/>
      <c r="D77" s="10"/>
      <c r="E77" s="16"/>
      <c r="F77" s="18"/>
    </row>
    <row r="78" spans="1:6" x14ac:dyDescent="0.3">
      <c r="A78" s="14">
        <v>73</v>
      </c>
      <c r="B78" s="2"/>
      <c r="C78" s="10"/>
      <c r="D78" s="10"/>
      <c r="E78" s="16"/>
      <c r="F78" s="18"/>
    </row>
    <row r="79" spans="1:6" x14ac:dyDescent="0.3">
      <c r="A79" s="14">
        <v>74</v>
      </c>
      <c r="B79" s="2"/>
      <c r="C79" s="10"/>
      <c r="D79" s="10"/>
      <c r="E79" s="16"/>
      <c r="F79" s="18"/>
    </row>
    <row r="80" spans="1:6" x14ac:dyDescent="0.3">
      <c r="A80" s="14">
        <v>75</v>
      </c>
      <c r="B80" s="2"/>
      <c r="C80" s="10"/>
      <c r="D80" s="10"/>
      <c r="E80" s="16"/>
      <c r="F80" s="18"/>
    </row>
    <row r="81" spans="1:6" x14ac:dyDescent="0.3">
      <c r="A81" s="14">
        <v>76</v>
      </c>
      <c r="B81" s="2"/>
      <c r="C81" s="10"/>
      <c r="D81" s="10"/>
      <c r="E81" s="16"/>
      <c r="F81" s="18"/>
    </row>
    <row r="82" spans="1:6" x14ac:dyDescent="0.3">
      <c r="A82" s="14">
        <v>77</v>
      </c>
      <c r="B82" s="2"/>
      <c r="C82" s="10"/>
      <c r="D82" s="10"/>
      <c r="E82" s="16"/>
      <c r="F82" s="18"/>
    </row>
    <row r="83" spans="1:6" x14ac:dyDescent="0.3">
      <c r="A83" s="14">
        <v>78</v>
      </c>
      <c r="B83" s="2"/>
      <c r="C83" s="10"/>
      <c r="D83" s="10"/>
      <c r="E83" s="16"/>
      <c r="F83" s="18"/>
    </row>
    <row r="84" spans="1:6" x14ac:dyDescent="0.3">
      <c r="A84" s="14">
        <v>79</v>
      </c>
      <c r="B84" s="2"/>
      <c r="C84" s="10"/>
      <c r="D84" s="10"/>
      <c r="E84" s="16"/>
      <c r="F84" s="18"/>
    </row>
    <row r="85" spans="1:6" x14ac:dyDescent="0.3">
      <c r="A85" s="14">
        <v>80</v>
      </c>
      <c r="B85" s="2"/>
      <c r="C85" s="10"/>
      <c r="D85" s="10"/>
      <c r="E85" s="16"/>
      <c r="F85" s="18"/>
    </row>
    <row r="86" spans="1:6" x14ac:dyDescent="0.3">
      <c r="A86" s="14">
        <v>81</v>
      </c>
      <c r="B86" s="2"/>
      <c r="C86" s="10"/>
      <c r="D86" s="10"/>
      <c r="E86" s="16"/>
      <c r="F86" s="18"/>
    </row>
    <row r="87" spans="1:6" x14ac:dyDescent="0.3">
      <c r="A87" s="14">
        <v>82</v>
      </c>
      <c r="B87" s="2"/>
      <c r="C87" s="10"/>
      <c r="D87" s="10"/>
      <c r="E87" s="16"/>
      <c r="F87" s="18"/>
    </row>
    <row r="88" spans="1:6" x14ac:dyDescent="0.3">
      <c r="A88" s="14">
        <v>83</v>
      </c>
      <c r="B88" s="2"/>
      <c r="C88" s="10"/>
      <c r="D88" s="10"/>
      <c r="E88" s="16"/>
      <c r="F88" s="18"/>
    </row>
    <row r="89" spans="1:6" x14ac:dyDescent="0.3">
      <c r="A89" s="14">
        <v>84</v>
      </c>
      <c r="B89" s="2"/>
      <c r="C89" s="10"/>
      <c r="D89" s="10"/>
      <c r="E89" s="16"/>
      <c r="F89" s="18"/>
    </row>
    <row r="90" spans="1:6" x14ac:dyDescent="0.3">
      <c r="A90" s="14">
        <v>85</v>
      </c>
      <c r="B90" s="2"/>
      <c r="C90" s="10"/>
      <c r="D90" s="10"/>
      <c r="E90" s="16"/>
      <c r="F90" s="18"/>
    </row>
    <row r="91" spans="1:6" x14ac:dyDescent="0.3">
      <c r="A91" s="14">
        <v>86</v>
      </c>
      <c r="B91" s="2"/>
      <c r="C91" s="10"/>
      <c r="D91" s="10"/>
      <c r="E91" s="16"/>
      <c r="F91" s="18"/>
    </row>
    <row r="92" spans="1:6" x14ac:dyDescent="0.3">
      <c r="A92" s="14">
        <v>87</v>
      </c>
      <c r="B92" s="2"/>
      <c r="C92" s="10"/>
      <c r="D92" s="10"/>
      <c r="E92" s="16"/>
      <c r="F92" s="18"/>
    </row>
    <row r="93" spans="1:6" x14ac:dyDescent="0.3">
      <c r="A93" s="14">
        <v>88</v>
      </c>
      <c r="B93" s="2"/>
      <c r="C93" s="10"/>
      <c r="D93" s="10"/>
      <c r="E93" s="16"/>
      <c r="F93" s="18"/>
    </row>
    <row r="94" spans="1:6" x14ac:dyDescent="0.3">
      <c r="A94" s="14">
        <v>89</v>
      </c>
      <c r="B94" s="2"/>
      <c r="C94" s="10"/>
      <c r="D94" s="10"/>
      <c r="E94" s="16"/>
      <c r="F94" s="18"/>
    </row>
    <row r="95" spans="1:6" x14ac:dyDescent="0.3">
      <c r="A95" s="14">
        <v>90</v>
      </c>
      <c r="B95" s="2"/>
      <c r="C95" s="10"/>
      <c r="D95" s="10"/>
      <c r="E95" s="16"/>
      <c r="F95" s="18"/>
    </row>
    <row r="96" spans="1:6" x14ac:dyDescent="0.3">
      <c r="A96" s="14">
        <v>91</v>
      </c>
      <c r="B96" s="2"/>
      <c r="C96" s="10"/>
      <c r="D96" s="10"/>
      <c r="E96" s="16"/>
      <c r="F96" s="18"/>
    </row>
    <row r="97" spans="1:6" x14ac:dyDescent="0.3">
      <c r="A97" s="14">
        <v>92</v>
      </c>
      <c r="B97" s="2"/>
      <c r="C97" s="10"/>
      <c r="D97" s="10"/>
      <c r="E97" s="16"/>
      <c r="F97" s="18"/>
    </row>
    <row r="98" spans="1:6" x14ac:dyDescent="0.3">
      <c r="A98" s="14">
        <v>93</v>
      </c>
      <c r="B98" s="2"/>
      <c r="C98" s="10"/>
      <c r="D98" s="10"/>
      <c r="E98" s="16"/>
      <c r="F98" s="18"/>
    </row>
    <row r="99" spans="1:6" x14ac:dyDescent="0.3">
      <c r="A99" s="14">
        <v>94</v>
      </c>
      <c r="B99" s="2"/>
      <c r="C99" s="10"/>
      <c r="D99" s="10"/>
      <c r="E99" s="16"/>
      <c r="F99" s="18"/>
    </row>
    <row r="100" spans="1:6" x14ac:dyDescent="0.3">
      <c r="A100" s="14">
        <v>95</v>
      </c>
      <c r="B100" s="2"/>
      <c r="C100" s="10"/>
      <c r="D100" s="10"/>
      <c r="E100" s="16"/>
      <c r="F100" s="18"/>
    </row>
    <row r="101" spans="1:6" x14ac:dyDescent="0.3">
      <c r="A101" s="14">
        <v>96</v>
      </c>
      <c r="B101" s="2"/>
      <c r="C101" s="10"/>
      <c r="D101" s="10"/>
      <c r="E101" s="16"/>
      <c r="F101" s="18"/>
    </row>
  </sheetData>
  <autoFilter ref="A5:F101" xr:uid="{E2A98864-B157-464B-9C9C-D10C2E7AC6B8}">
    <sortState xmlns:xlrd2="http://schemas.microsoft.com/office/spreadsheetml/2017/richdata2" ref="A6:F101">
      <sortCondition ref="C5:C101"/>
    </sortState>
  </autoFilter>
  <mergeCells count="1">
    <mergeCell ref="B1:E1"/>
  </mergeCells>
  <phoneticPr fontId="4" type="noConversion"/>
  <conditionalFormatting sqref="A5">
    <cfRule type="containsText" dxfId="24" priority="1" operator="containsText" text="Basse">
      <formula>NOT(ISERROR(SEARCH("Basse",A5)))</formula>
    </cfRule>
    <cfRule type="containsText" dxfId="23" priority="2" operator="containsText" text="Haute">
      <formula>NOT(ISERROR(SEARCH("Haute",A5)))</formula>
    </cfRule>
    <cfRule type="containsText" dxfId="22" priority="3" operator="containsText" text="Moyenne">
      <formula>NOT(ISERROR(SEARCH("Moyenne",A5)))</formula>
    </cfRule>
  </conditionalFormatting>
  <conditionalFormatting sqref="C1:C1048576">
    <cfRule type="containsText" dxfId="21" priority="10" operator="containsText" text="Sprint 4">
      <formula>NOT(ISERROR(SEARCH("Sprint 4",C1)))</formula>
    </cfRule>
    <cfRule type="containsText" dxfId="20" priority="11" operator="containsText" text="Sprint 3">
      <formula>NOT(ISERROR(SEARCH("Sprint 3",C1)))</formula>
    </cfRule>
    <cfRule type="containsText" dxfId="19" priority="12" operator="containsText" text="Sprint 2">
      <formula>NOT(ISERROR(SEARCH("Sprint 2",C1)))</formula>
    </cfRule>
    <cfRule type="containsText" dxfId="18" priority="13" operator="containsText" text="Sprint 1">
      <formula>NOT(ISERROR(SEARCH("Sprint 1",C1)))</formula>
    </cfRule>
  </conditionalFormatting>
  <conditionalFormatting sqref="D1:D1048576">
    <cfRule type="containsText" dxfId="17" priority="7" operator="containsText" text="Basse">
      <formula>NOT(ISERROR(SEARCH("Basse",D1)))</formula>
    </cfRule>
    <cfRule type="containsText" dxfId="16" priority="8" operator="containsText" text="Haute">
      <formula>NOT(ISERROR(SEARCH("Haute",D1)))</formula>
    </cfRule>
    <cfRule type="containsText" dxfId="15" priority="9" operator="containsText" text="Moyenne">
      <formula>NOT(ISERROR(SEARCH("Moyenne",D1)))</formula>
    </cfRule>
  </conditionalFormatting>
  <conditionalFormatting sqref="F1:F1048576">
    <cfRule type="containsText" dxfId="14" priority="4" operator="containsText" text="Basse">
      <formula>NOT(ISERROR(SEARCH("Basse",F1)))</formula>
    </cfRule>
    <cfRule type="containsText" dxfId="13" priority="5" operator="containsText" text="Haute">
      <formula>NOT(ISERROR(SEARCH("Haute",F1)))</formula>
    </cfRule>
    <cfRule type="containsText" dxfId="12" priority="6" operator="containsText" text="Moyenne">
      <formula>NOT(ISERROR(SEARCH("Moyenne",F1)))</formula>
    </cfRule>
  </conditionalFormatting>
  <dataValidations count="2">
    <dataValidation type="list" allowBlank="1" showInputMessage="1" showErrorMessage="1" sqref="D6:D101" xr:uid="{C1E49912-FB61-4F2F-8F8F-588FF6944C57}">
      <formula1>"Haute,Moyenne,Basse,"</formula1>
    </dataValidation>
    <dataValidation type="list" allowBlank="1" showInputMessage="1" showErrorMessage="1" sqref="C6:C101" xr:uid="{A1B83402-03F9-4A0F-BE40-AAB54D35ECC4}">
      <formula1>"Sprint 1,Sprint 2,Sprint 3,Sprint 4,"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5589-D367-4045-AC2C-21AA964CF385}">
  <sheetPr>
    <tabColor theme="9" tint="0.39997558519241921"/>
  </sheetPr>
  <dimension ref="A1:L41"/>
  <sheetViews>
    <sheetView workbookViewId="0">
      <selection activeCell="C5" sqref="C5"/>
    </sheetView>
  </sheetViews>
  <sheetFormatPr defaultColWidth="11.5546875" defaultRowHeight="14.4" x14ac:dyDescent="0.3"/>
  <cols>
    <col min="1" max="1" width="1.88671875" customWidth="1"/>
    <col min="2" max="2" width="30.5546875" customWidth="1"/>
    <col min="3" max="3" width="17.5546875" customWidth="1"/>
    <col min="4" max="4" width="15.33203125" style="9" customWidth="1"/>
    <col min="5" max="5" width="19.88671875" style="9" customWidth="1"/>
    <col min="6" max="6" width="36.44140625" customWidth="1"/>
    <col min="7" max="7" width="9.6640625" style="9" customWidth="1"/>
    <col min="8" max="8" width="16.33203125" style="9" customWidth="1"/>
    <col min="9" max="9" width="32.5546875" customWidth="1"/>
    <col min="10" max="10" width="9.5546875" style="9" customWidth="1"/>
    <col min="11" max="11" width="16.109375" style="9" customWidth="1"/>
    <col min="12" max="12" width="18.5546875" customWidth="1"/>
  </cols>
  <sheetData>
    <row r="1" spans="1:12" ht="46.2" x14ac:dyDescent="0.85">
      <c r="B1" s="19" t="s">
        <v>3</v>
      </c>
    </row>
    <row r="3" spans="1:12" ht="21" x14ac:dyDescent="0.4">
      <c r="A3" s="4"/>
      <c r="B3" s="3"/>
      <c r="C3" s="3"/>
      <c r="D3" s="23" t="s">
        <v>13</v>
      </c>
      <c r="E3" s="23"/>
      <c r="F3" s="3"/>
      <c r="G3" s="23" t="s">
        <v>14</v>
      </c>
      <c r="H3" s="23"/>
      <c r="I3" s="3"/>
      <c r="J3" s="23" t="s">
        <v>15</v>
      </c>
      <c r="K3" s="23"/>
      <c r="L3" s="5"/>
    </row>
    <row r="4" spans="1:12" ht="21" x14ac:dyDescent="0.4">
      <c r="A4" s="4"/>
      <c r="B4" s="3" t="s">
        <v>1</v>
      </c>
      <c r="C4" s="3" t="s">
        <v>7</v>
      </c>
      <c r="D4" s="23" t="s">
        <v>10</v>
      </c>
      <c r="E4" s="23" t="s">
        <v>11</v>
      </c>
      <c r="F4" s="3" t="s">
        <v>12</v>
      </c>
      <c r="G4" s="23" t="s">
        <v>8</v>
      </c>
      <c r="H4" s="23" t="s">
        <v>9</v>
      </c>
      <c r="I4" s="3" t="s">
        <v>12</v>
      </c>
      <c r="J4" s="23" t="s">
        <v>8</v>
      </c>
      <c r="K4" s="23" t="s">
        <v>9</v>
      </c>
      <c r="L4" s="5" t="s">
        <v>12</v>
      </c>
    </row>
    <row r="5" spans="1:12" x14ac:dyDescent="0.3">
      <c r="A5" s="4"/>
      <c r="B5" s="7" t="str" cm="1">
        <f t="array" ref="B5">IFERROR(
  INDEX(Planification!B$2:B$100,
    SMALL(
      IF(Planification!C$2:C$100="Sprint 1",
         ROW(Planification!B$2:B$100)-ROW(Planification!B$2)+1),
      ROW(A1)
    )
  ),
"")</f>
        <v>Document de définition</v>
      </c>
      <c r="C5" s="4" t="s">
        <v>28</v>
      </c>
      <c r="D5" s="9">
        <v>1</v>
      </c>
      <c r="E5" s="9">
        <v>50</v>
      </c>
      <c r="F5" s="4" t="s">
        <v>35</v>
      </c>
      <c r="G5" s="9">
        <v>1.5</v>
      </c>
      <c r="H5" s="9">
        <v>90</v>
      </c>
      <c r="I5" s="4" t="s">
        <v>36</v>
      </c>
      <c r="J5" s="9">
        <v>0.5</v>
      </c>
      <c r="K5" s="9">
        <v>100</v>
      </c>
      <c r="L5" s="4" t="s">
        <v>37</v>
      </c>
    </row>
    <row r="6" spans="1:12" x14ac:dyDescent="0.3">
      <c r="A6" s="4"/>
      <c r="B6" s="7" t="str" cm="1">
        <f t="array" ref="B6">IFERROR(
  INDEX(Planification!B$2:B$100,
    SMALL(
      IF(Planification!C$2:C$100="Sprint 1",
         ROW(Planification!B$2:B$100)-ROW(Planification!B$2)+1),
      ROW(A2)
    )
  ),
"")</f>
        <v>Document de planification</v>
      </c>
      <c r="C6" s="4" t="s">
        <v>28</v>
      </c>
      <c r="F6" s="4"/>
      <c r="I6" s="4"/>
      <c r="J6" s="9">
        <v>2</v>
      </c>
      <c r="K6" s="9">
        <v>100</v>
      </c>
      <c r="L6" s="4" t="s">
        <v>37</v>
      </c>
    </row>
    <row r="7" spans="1:12" x14ac:dyDescent="0.3">
      <c r="A7" s="4"/>
      <c r="B7" s="7" t="str" cm="1">
        <f t="array" ref="B7">IFERROR(
  INDEX(Planification!B$2:B$100,
    SMALL(
      IF(Planification!C$2:C$100="Sprint 1",
         ROW(Planification!B$2:B$100)-ROW(Planification!B$2)+1),
      ROW(A3)
    )
  ),
"")</f>
        <v>Diagramme de cas d'usage</v>
      </c>
      <c r="C7" s="4" t="s">
        <v>28</v>
      </c>
      <c r="D7" s="9">
        <v>3</v>
      </c>
      <c r="E7" s="9">
        <v>100</v>
      </c>
      <c r="F7" s="4" t="s">
        <v>37</v>
      </c>
      <c r="I7" s="4"/>
      <c r="L7" s="4"/>
    </row>
    <row r="8" spans="1:12" x14ac:dyDescent="0.3">
      <c r="A8" s="4"/>
      <c r="B8" s="7" t="str" cm="1">
        <f t="array" ref="B8">IFERROR(
  INDEX(Planification!B$2:B$100,
    SMALL(
      IF(Planification!C$2:C$100="Sprint 1",
         ROW(Planification!B$2:B$100)-ROW(Planification!B$2)+1),
      ROW(A4)
    )
  ),
"")</f>
        <v>Diagramme de classe</v>
      </c>
      <c r="C8" s="4" t="s">
        <v>28</v>
      </c>
      <c r="D8" s="9">
        <v>2</v>
      </c>
      <c r="E8" s="9">
        <v>30</v>
      </c>
      <c r="F8" s="4" t="s">
        <v>40</v>
      </c>
      <c r="G8" s="9">
        <v>4</v>
      </c>
      <c r="H8" s="9">
        <v>90</v>
      </c>
      <c r="I8" s="4" t="s">
        <v>41</v>
      </c>
      <c r="J8" s="9">
        <v>0.5</v>
      </c>
      <c r="K8" s="9">
        <v>100</v>
      </c>
      <c r="L8" s="4" t="s">
        <v>37</v>
      </c>
    </row>
    <row r="9" spans="1:12" x14ac:dyDescent="0.3">
      <c r="A9" s="4"/>
      <c r="B9" s="7" t="str" cm="1">
        <f t="array" ref="B9">IFERROR(
  INDEX(Planification!B$2:B$100,
    SMALL(
      IF(Planification!C$2:C$100="Sprint 1",
         ROW(Planification!B$2:B$100)-ROW(Planification!B$2)+1),
      ROW(A5)
    )
  ),
"")</f>
        <v>Diagramme des bases de données</v>
      </c>
      <c r="C9" s="4" t="s">
        <v>28</v>
      </c>
      <c r="F9" s="4"/>
      <c r="G9" s="9">
        <v>1.5</v>
      </c>
      <c r="H9" s="9">
        <v>100</v>
      </c>
      <c r="I9" s="4" t="s">
        <v>37</v>
      </c>
      <c r="L9" s="4"/>
    </row>
    <row r="10" spans="1:12" x14ac:dyDescent="0.3">
      <c r="A10" s="4"/>
      <c r="B10" s="7" t="str" cm="1">
        <f t="array" ref="B10">IFERROR(
  INDEX(Planification!B$2:B$100,
    SMALL(
      IF(Planification!C$2:C$100="Sprint 1",
         ROW(Planification!B$2:B$100)-ROW(Planification!B$2)+1),
      ROW(A6)
    )
  ),
"")</f>
        <v>Maquettes du UI</v>
      </c>
      <c r="C10" s="4" t="s">
        <v>28</v>
      </c>
      <c r="F10" s="4"/>
      <c r="I10" s="4"/>
      <c r="J10" s="9">
        <v>3.5</v>
      </c>
      <c r="K10" s="9">
        <v>100</v>
      </c>
      <c r="L10" s="4" t="s">
        <v>37</v>
      </c>
    </row>
    <row r="11" spans="1:12" x14ac:dyDescent="0.3">
      <c r="A11" s="4"/>
      <c r="B11" s="7" t="str" cm="1">
        <f t="array" ref="B11">IFERROR(
  INDEX(Planification!B$2:B$100,
    SMALL(
      IF(Planification!C$2:C$100="Sprint 1",
         ROW(Planification!B$2:B$100)-ROW(Planification!B$2)+1),
      ROW(A7)
    )
  ),
"")</f>
        <v>Document de conception</v>
      </c>
      <c r="C11" s="4" t="s">
        <v>28</v>
      </c>
      <c r="F11" s="4"/>
      <c r="I11" s="4"/>
      <c r="J11" s="9">
        <v>1</v>
      </c>
      <c r="K11" s="9">
        <v>100</v>
      </c>
      <c r="L11" s="4" t="s">
        <v>37</v>
      </c>
    </row>
    <row r="12" spans="1:12" x14ac:dyDescent="0.3">
      <c r="A12" s="4"/>
      <c r="B12" s="7" t="str" cm="1">
        <f t="array" ref="B12">IFERROR(
  INDEX(Planification!B$2:B$100,
    SMALL(
      IF(Planification!C$2:C$100="Sprint 1",
         ROW(Planification!B$2:B$100)-ROW(Planification!B$2)+1),
      ROW(A8)
    )
  ),
"")</f>
        <v/>
      </c>
      <c r="C12" s="4"/>
      <c r="F12" s="4"/>
      <c r="I12" s="4"/>
      <c r="L12" s="4"/>
    </row>
    <row r="13" spans="1:12" x14ac:dyDescent="0.3">
      <c r="A13" s="4"/>
      <c r="B13" s="7" t="str" cm="1">
        <f t="array" ref="B13">IFERROR(
  INDEX(Planification!B$2:B$100,
    SMALL(
      IF(Planification!C$2:C$100="Sprint 1",
         ROW(Planification!B$2:B$100)-ROW(Planification!B$2)+1),
      ROW(A9)
    )
  ),
"")</f>
        <v/>
      </c>
      <c r="C13" s="4"/>
      <c r="F13" s="4"/>
      <c r="I13" s="4"/>
      <c r="L13" s="4"/>
    </row>
    <row r="14" spans="1:12" x14ac:dyDescent="0.3">
      <c r="A14" s="4"/>
      <c r="B14" s="7" t="str" cm="1">
        <f t="array" ref="B14">IFERROR(
  INDEX(Planification!B$2:B$100,
    SMALL(
      IF(Planification!C$2:C$100="Sprint 1",
         ROW(Planification!B$2:B$100)-ROW(Planification!B$2)+1),
      ROW(A10)
    )
  ),
"")</f>
        <v/>
      </c>
      <c r="C14" s="4"/>
      <c r="F14" s="4"/>
      <c r="I14" s="4"/>
      <c r="L14" s="4"/>
    </row>
    <row r="15" spans="1:12" x14ac:dyDescent="0.3">
      <c r="A15" s="4"/>
      <c r="B15" s="7" t="str" cm="1">
        <f t="array" ref="B15">IFERROR(
  INDEX(Planification!B$2:B$100,
    SMALL(
      IF(Planification!C$2:C$100="Sprint 1",
         ROW(Planification!B$2:B$100)-ROW(Planification!B$2)+1),
      ROW(A11)
    )
  ),
"")</f>
        <v/>
      </c>
      <c r="C15" s="4"/>
      <c r="F15" s="4"/>
      <c r="I15" s="4"/>
      <c r="L15" s="4"/>
    </row>
    <row r="16" spans="1:12" x14ac:dyDescent="0.3">
      <c r="A16" s="4"/>
      <c r="B16" s="7" t="str" cm="1">
        <f t="array" ref="B16">IFERROR(
  INDEX(Planification!B$2:B$100,
    SMALL(
      IF(Planification!C$2:C$100="Sprint 1",
         ROW(Planification!B$2:B$100)-ROW(Planification!B$2)+1),
      ROW(A12)
    )
  ),
"")</f>
        <v/>
      </c>
      <c r="C16" s="4"/>
      <c r="F16" s="4"/>
      <c r="I16" s="4"/>
      <c r="L16" s="4"/>
    </row>
    <row r="17" spans="1:12" x14ac:dyDescent="0.3">
      <c r="A17" s="4"/>
      <c r="B17" s="7" t="str" cm="1">
        <f t="array" ref="B17">IFERROR(
  INDEX(Planification!B$2:B$100,
    SMALL(
      IF(Planification!C$2:C$100="Sprint 1",
         ROW(Planification!B$2:B$100)-ROW(Planification!B$2)+1),
      ROW(A13)
    )
  ),
"")</f>
        <v/>
      </c>
      <c r="C17" s="4"/>
      <c r="F17" s="4"/>
      <c r="I17" s="4"/>
      <c r="L17" s="4"/>
    </row>
    <row r="18" spans="1:12" x14ac:dyDescent="0.3">
      <c r="A18" s="4"/>
      <c r="B18" s="7" t="str" cm="1">
        <f t="array" ref="B18">IFERROR(
  INDEX(Planification!B$2:B$100,
    SMALL(
      IF(Planification!C$2:C$100="Sprint 1",
         ROW(Planification!B$2:B$100)-ROW(Planification!B$2)+1),
      ROW(A14)
    )
  ),
"")</f>
        <v/>
      </c>
      <c r="C18" s="4"/>
      <c r="F18" s="4"/>
      <c r="I18" s="4"/>
      <c r="L18" s="4"/>
    </row>
    <row r="19" spans="1:12" x14ac:dyDescent="0.3">
      <c r="A19" s="4"/>
      <c r="B19" s="7" t="str" cm="1">
        <f t="array" ref="B19">IFERROR(
  INDEX(Planification!B$2:B$100,
    SMALL(
      IF(Planification!C$2:C$100="Sprint 1",
         ROW(Planification!B$2:B$100)-ROW(Planification!B$2)+1),
      ROW(A15)
    )
  ),
"")</f>
        <v/>
      </c>
      <c r="C19" s="4"/>
      <c r="F19" s="4"/>
      <c r="I19" s="4"/>
      <c r="L19" s="4"/>
    </row>
    <row r="20" spans="1:12" x14ac:dyDescent="0.3">
      <c r="A20" s="4"/>
      <c r="B20" s="7" t="str" cm="1">
        <f t="array" ref="B20">IFERROR(
  INDEX(Planification!B$2:B$100,
    SMALL(
      IF(Planification!C$2:C$100="Sprint 1",
         ROW(Planification!B$2:B$100)-ROW(Planification!B$2)+1),
      ROW(A16)
    )
  ),
"")</f>
        <v/>
      </c>
      <c r="C20" s="4"/>
      <c r="F20" s="4"/>
      <c r="I20" s="4"/>
      <c r="L20" s="4"/>
    </row>
    <row r="21" spans="1:12" x14ac:dyDescent="0.3">
      <c r="A21" s="4"/>
      <c r="B21" s="7" t="str" cm="1">
        <f t="array" ref="B21">IFERROR(
  INDEX(Planification!B$2:B$100,
    SMALL(
      IF(Planification!C$2:C$100="Sprint 1",
         ROW(Planification!B$2:B$100)-ROW(Planification!B$2)+1),
      ROW(A17)
    )
  ),
"")</f>
        <v/>
      </c>
      <c r="C21" s="4"/>
      <c r="F21" s="4"/>
      <c r="I21" s="4"/>
      <c r="L21" s="4"/>
    </row>
    <row r="22" spans="1:12" x14ac:dyDescent="0.3">
      <c r="A22" s="4"/>
      <c r="B22" s="7" t="str" cm="1">
        <f t="array" ref="B22">IFERROR(
  INDEX(Planification!B$2:B$100,
    SMALL(
      IF(Planification!C$2:C$100="Sprint 1",
         ROW(Planification!B$2:B$100)-ROW(Planification!B$2)+1),
      ROW(A18)
    )
  ),
"")</f>
        <v/>
      </c>
      <c r="C22" s="4"/>
      <c r="F22" s="4"/>
      <c r="I22" s="4"/>
      <c r="L22" s="4"/>
    </row>
    <row r="23" spans="1:12" x14ac:dyDescent="0.3">
      <c r="A23" s="4"/>
      <c r="B23" s="7" t="str" cm="1">
        <f t="array" ref="B23">IFERROR(
  INDEX(Planification!B$2:B$100,
    SMALL(
      IF(Planification!C$2:C$100="Sprint 1",
         ROW(Planification!B$2:B$100)-ROW(Planification!B$2)+1),
      ROW(A19)
    )
  ),
"")</f>
        <v/>
      </c>
      <c r="C23" s="4"/>
      <c r="F23" s="4"/>
      <c r="I23" s="4"/>
      <c r="L23" s="4"/>
    </row>
    <row r="24" spans="1:12" x14ac:dyDescent="0.3">
      <c r="A24" s="4"/>
      <c r="B24" s="7" t="str" cm="1">
        <f t="array" ref="B24">IFERROR(
  INDEX(Planification!B$2:B$100,
    SMALL(
      IF(Planification!C$2:C$100="Sprint 1",
         ROW(Planification!B$2:B$100)-ROW(Planification!B$2)+1),
      ROW(A20)
    )
  ),
"")</f>
        <v/>
      </c>
      <c r="C24" s="4"/>
      <c r="F24" s="4"/>
      <c r="I24" s="4"/>
      <c r="L24" s="4"/>
    </row>
    <row r="25" spans="1:12" x14ac:dyDescent="0.3">
      <c r="A25" s="4"/>
      <c r="B25" s="7" t="str" cm="1">
        <f t="array" ref="B25">IFERROR(
  INDEX(Planification!B$2:B$100,
    SMALL(
      IF(Planification!C$2:C$100="Sprint 1",
         ROW(Planification!B$2:B$100)-ROW(Planification!B$2)+1),
      ROW(A21)
    )
  ),
"")</f>
        <v/>
      </c>
      <c r="C25" s="4"/>
      <c r="F25" s="4"/>
      <c r="I25" s="4"/>
      <c r="L25" s="4"/>
    </row>
    <row r="26" spans="1:12" x14ac:dyDescent="0.3">
      <c r="A26" s="4"/>
      <c r="B26" s="7" t="str" cm="1">
        <f t="array" ref="B26">IFERROR(
  INDEX(Planification!B$2:B$100,
    SMALL(
      IF(Planification!C$2:C$100="Sprint 1",
         ROW(Planification!B$2:B$100)-ROW(Planification!B$2)+1),
      ROW(A22)
    )
  ),
"")</f>
        <v/>
      </c>
      <c r="C26" s="4"/>
      <c r="F26" s="4"/>
      <c r="I26" s="4"/>
      <c r="L26" s="4"/>
    </row>
    <row r="27" spans="1:12" x14ac:dyDescent="0.3">
      <c r="A27" s="4"/>
      <c r="B27" s="7" t="str" cm="1">
        <f t="array" ref="B27">IFERROR(
  INDEX(Planification!B$2:B$100,
    SMALL(
      IF(Planification!C$2:C$100="Sprint 1",
         ROW(Planification!B$2:B$100)-ROW(Planification!B$2)+1),
      ROW(A23)
    )
  ),
"")</f>
        <v/>
      </c>
      <c r="C27" s="4"/>
      <c r="F27" s="4"/>
      <c r="I27" s="4"/>
      <c r="L27" s="4"/>
    </row>
    <row r="28" spans="1:12" x14ac:dyDescent="0.3">
      <c r="A28" s="4"/>
      <c r="B28" s="7" t="str" cm="1">
        <f t="array" ref="B28">IFERROR(
  INDEX(Planification!B$2:B$100,
    SMALL(
      IF(Planification!C$2:C$100="Sprint 1",
         ROW(Planification!B$2:B$100)-ROW(Planification!B$2)+1),
      ROW(A24)
    )
  ),
"")</f>
        <v/>
      </c>
      <c r="C28" s="4"/>
      <c r="F28" s="4"/>
      <c r="I28" s="4"/>
      <c r="L28" s="4"/>
    </row>
    <row r="29" spans="1:12" x14ac:dyDescent="0.3">
      <c r="A29" s="4"/>
      <c r="B29" s="7" t="str" cm="1">
        <f t="array" ref="B29">IFERROR(
  INDEX(Planification!B$2:B$100,
    SMALL(
      IF(Planification!C$2:C$100="Sprint 1",
         ROW(Planification!B$2:B$100)-ROW(Planification!B$2)+1),
      ROW(A25)
    )
  ),
"")</f>
        <v/>
      </c>
      <c r="C29" s="4"/>
      <c r="F29" s="4"/>
      <c r="I29" s="4"/>
      <c r="L29" s="4"/>
    </row>
    <row r="30" spans="1:12" x14ac:dyDescent="0.3">
      <c r="A30" s="4"/>
      <c r="B30" s="7" t="str" cm="1">
        <f t="array" ref="B30">IFERROR(
  INDEX(Planification!B$2:B$100,
    SMALL(
      IF(Planification!C$2:C$100="Sprint 1",
         ROW(Planification!B$2:B$100)-ROW(Planification!B$2)+1),
      ROW(A26)
    )
  ),
"")</f>
        <v/>
      </c>
      <c r="C30" s="4"/>
      <c r="F30" s="4"/>
      <c r="I30" s="4"/>
      <c r="L30" s="4"/>
    </row>
    <row r="31" spans="1:12" x14ac:dyDescent="0.3">
      <c r="A31" s="4"/>
      <c r="B31" s="7" t="str" cm="1">
        <f t="array" ref="B31">IFERROR(
  INDEX(Planification!B$2:B$100,
    SMALL(
      IF(Planification!C$2:C$100="Sprint 1",
         ROW(Planification!B$2:B$100)-ROW(Planification!B$2)+1),
      ROW(A27)
    )
  ),
"")</f>
        <v/>
      </c>
      <c r="C31" s="4"/>
      <c r="F31" s="4"/>
      <c r="I31" s="4"/>
      <c r="L31" s="4"/>
    </row>
    <row r="32" spans="1:12" x14ac:dyDescent="0.3">
      <c r="A32" s="4"/>
      <c r="B32" s="7" t="str" cm="1">
        <f t="array" ref="B32">IFERROR(
  INDEX(Planification!B$2:B$100,
    SMALL(
      IF(Planification!C$2:C$100="Sprint 1",
         ROW(Planification!B$2:B$100)-ROW(Planification!B$2)+1),
      ROW(A28)
    )
  ),
"")</f>
        <v/>
      </c>
      <c r="C32" s="4"/>
      <c r="F32" s="4"/>
      <c r="I32" s="4"/>
      <c r="L32" s="4"/>
    </row>
    <row r="33" spans="1:12" x14ac:dyDescent="0.3">
      <c r="A33" s="4"/>
      <c r="B33" s="7" t="str" cm="1">
        <f t="array" ref="B33">IFERROR(
  INDEX(Planification!B$2:B$100,
    SMALL(
      IF(Planification!C$2:C$100="Sprint 1",
         ROW(Planification!B$2:B$100)-ROW(Planification!B$2)+1),
      ROW(A29)
    )
  ),
"")</f>
        <v/>
      </c>
      <c r="C33" s="4"/>
      <c r="F33" s="4"/>
      <c r="I33" s="4"/>
      <c r="L33" s="4"/>
    </row>
    <row r="34" spans="1:12" x14ac:dyDescent="0.3">
      <c r="A34" s="4"/>
      <c r="B34" s="7" t="str" cm="1">
        <f t="array" ref="B34">IFERROR(
  INDEX(Planification!B$2:B$100,
    SMALL(
      IF(Planification!C$2:C$100="Sprint 1",
         ROW(Planification!B$2:B$100)-ROW(Planification!B$2)+1),
      ROW(A30)
    )
  ),
"")</f>
        <v/>
      </c>
      <c r="C34" s="4"/>
      <c r="F34" s="4"/>
      <c r="I34" s="4"/>
      <c r="L34" s="4"/>
    </row>
    <row r="35" spans="1:12" x14ac:dyDescent="0.3">
      <c r="A35" s="4"/>
      <c r="B35" s="7" t="str" cm="1">
        <f t="array" ref="B35">IFERROR(
  INDEX(Planification!B$2:B$100,
    SMALL(
      IF(Planification!C$2:C$100="Sprint 1",
         ROW(Planification!B$2:B$100)-ROW(Planification!B$2)+1),
      ROW(A31)
    )
  ),
"")</f>
        <v/>
      </c>
      <c r="C35" s="4"/>
      <c r="F35" s="4"/>
      <c r="I35" s="4"/>
      <c r="L35" s="4"/>
    </row>
    <row r="36" spans="1:12" x14ac:dyDescent="0.3">
      <c r="A36" s="4"/>
      <c r="B36" s="7" t="str" cm="1">
        <f t="array" ref="B36">IFERROR(
  INDEX(Planification!B$2:B$100,
    SMALL(
      IF(Planification!C$2:C$100="Sprint 1",
         ROW(Planification!B$2:B$100)-ROW(Planification!B$2)+1),
      ROW(A32)
    )
  ),
"")</f>
        <v/>
      </c>
      <c r="C36" s="4"/>
      <c r="F36" s="4"/>
      <c r="I36" s="4"/>
      <c r="L36" s="4"/>
    </row>
    <row r="37" spans="1:12" x14ac:dyDescent="0.3">
      <c r="A37" s="4"/>
      <c r="B37" s="7" t="str" cm="1">
        <f t="array" ref="B37">IFERROR(
  INDEX(Planification!B$2:B$100,
    SMALL(
      IF(Planification!C$2:C$100="Sprint 1",
         ROW(Planification!B$2:B$100)-ROW(Planification!B$2)+1),
      ROW(A33)
    )
  ),
"")</f>
        <v/>
      </c>
      <c r="C37" s="4"/>
      <c r="F37" s="4"/>
      <c r="I37" s="4"/>
      <c r="L37" s="4"/>
    </row>
    <row r="38" spans="1:12" x14ac:dyDescent="0.3">
      <c r="A38" s="4"/>
      <c r="B38" s="7" t="str" cm="1">
        <f t="array" ref="B38">IFERROR(
  INDEX(Planification!B$2:B$100,
    SMALL(
      IF(Planification!C$2:C$100="Sprint 1",
         ROW(Planification!B$2:B$100)-ROW(Planification!B$2)+1),
      ROW(A34)
    )
  ),
"")</f>
        <v/>
      </c>
      <c r="C38" s="4"/>
      <c r="F38" s="4"/>
      <c r="I38" s="4"/>
      <c r="L38" s="4"/>
    </row>
    <row r="39" spans="1:12" x14ac:dyDescent="0.3">
      <c r="A39" s="4"/>
      <c r="B39" s="7" t="str" cm="1">
        <f t="array" ref="B39">IFERROR(
  INDEX(Planification!B$2:B$100,
    SMALL(
      IF(Planification!C$2:C$100="Sprint 1",
         ROW(Planification!B$2:B$100)-ROW(Planification!B$2)+1),
      ROW(A35)
    )
  ),
"")</f>
        <v/>
      </c>
      <c r="C39" s="4"/>
      <c r="F39" s="4"/>
      <c r="I39" s="4"/>
      <c r="L39" s="4"/>
    </row>
    <row r="40" spans="1:12" x14ac:dyDescent="0.3">
      <c r="A40" s="4"/>
      <c r="B40" s="7" t="str" cm="1">
        <f t="array" ref="B40">IFERROR(
  INDEX(Planification!B$2:B$100,
    SMALL(
      IF(Planification!C$2:C$100="Sprint 1",
         ROW(Planification!B$2:B$100)-ROW(Planification!B$2)+1),
      ROW(A36)
    )
  ),
"")</f>
        <v/>
      </c>
      <c r="C40" s="4"/>
      <c r="F40" s="4"/>
      <c r="I40" s="4"/>
      <c r="L40" s="4"/>
    </row>
    <row r="41" spans="1:12" x14ac:dyDescent="0.3">
      <c r="A41" s="4"/>
      <c r="B41" s="7" t="str" cm="1">
        <f t="array" ref="B41">IFERROR(
  INDEX(Planification!B$2:B$100,
    SMALL(
      IF(Planification!C$2:C$100="Sprint 1",
         ROW(Planification!B$2:B$100)-ROW(Planification!B$2)+1),
      ROW(A37)
    )
  ),
"")</f>
        <v/>
      </c>
      <c r="C41" s="4"/>
      <c r="F41" s="4"/>
      <c r="I41" s="4"/>
      <c r="L41" s="4"/>
    </row>
  </sheetData>
  <conditionalFormatting sqref="B5:L41">
    <cfRule type="expression" dxfId="11" priority="1">
      <formula>$C5="Hugo"</formula>
    </cfRule>
    <cfRule type="expression" dxfId="10" priority="2">
      <formula>$C5="Fred &amp; Hugo"</formula>
    </cfRule>
    <cfRule type="expression" dxfId="9" priority="3">
      <formula>$C5="Fred"</formula>
    </cfRule>
  </conditionalFormatting>
  <dataValidations count="1">
    <dataValidation type="list" allowBlank="1" showErrorMessage="1" sqref="C5:C41" xr:uid="{9C34792B-0E4C-47D3-BBC2-1E63390E758E}">
      <formula1>Responsable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ACBA-2A2E-4194-920D-CFD0EDCA744A}">
  <dimension ref="A1:A3"/>
  <sheetViews>
    <sheetView workbookViewId="0">
      <selection sqref="A1:A3"/>
    </sheetView>
  </sheetViews>
  <sheetFormatPr defaultColWidth="11.5546875"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7888-BBE7-4BD8-9871-AB22BAD895CD}">
  <sheetPr>
    <tabColor theme="7" tint="0.39997558519241921"/>
  </sheetPr>
  <dimension ref="B1:L41"/>
  <sheetViews>
    <sheetView topLeftCell="A4" workbookViewId="0">
      <selection activeCell="L7" sqref="L7"/>
    </sheetView>
  </sheetViews>
  <sheetFormatPr defaultColWidth="11.5546875" defaultRowHeight="14.4" x14ac:dyDescent="0.3"/>
  <cols>
    <col min="1" max="1" width="2.33203125" customWidth="1"/>
    <col min="2" max="2" width="64.44140625" bestFit="1" customWidth="1"/>
    <col min="3" max="3" width="17.33203125" customWidth="1"/>
    <col min="4" max="4" width="15.5546875" style="9" customWidth="1"/>
    <col min="5" max="5" width="20.88671875" style="9" customWidth="1"/>
    <col min="6" max="6" width="44.5546875" bestFit="1" customWidth="1"/>
    <col min="8" max="8" width="16.109375" style="9" customWidth="1"/>
    <col min="9" max="9" width="39.21875" style="30" customWidth="1"/>
    <col min="11" max="11" width="16.33203125" style="9" customWidth="1"/>
    <col min="12" max="12" width="30.5546875" style="30" customWidth="1"/>
  </cols>
  <sheetData>
    <row r="1" spans="2:12" ht="46.2" x14ac:dyDescent="0.85">
      <c r="B1" s="20" t="s">
        <v>6</v>
      </c>
    </row>
    <row r="3" spans="2:12" ht="21" x14ac:dyDescent="0.4">
      <c r="B3" s="6"/>
      <c r="C3" s="3"/>
      <c r="D3" s="23" t="s">
        <v>13</v>
      </c>
      <c r="E3" s="23"/>
      <c r="F3" s="3"/>
      <c r="G3" s="3" t="s">
        <v>14</v>
      </c>
      <c r="H3" s="23"/>
      <c r="I3" s="31"/>
      <c r="J3" s="3" t="s">
        <v>15</v>
      </c>
      <c r="K3" s="23"/>
      <c r="L3" s="33"/>
    </row>
    <row r="4" spans="2:12" ht="21" x14ac:dyDescent="0.4">
      <c r="B4" s="6" t="s">
        <v>1</v>
      </c>
      <c r="C4" s="3" t="s">
        <v>7</v>
      </c>
      <c r="D4" s="23" t="s">
        <v>10</v>
      </c>
      <c r="E4" s="23" t="s">
        <v>11</v>
      </c>
      <c r="F4" s="3" t="s">
        <v>12</v>
      </c>
      <c r="G4" s="3" t="s">
        <v>8</v>
      </c>
      <c r="H4" s="23" t="s">
        <v>9</v>
      </c>
      <c r="I4" s="31" t="s">
        <v>12</v>
      </c>
      <c r="J4" s="3" t="s">
        <v>8</v>
      </c>
      <c r="K4" s="23" t="s">
        <v>9</v>
      </c>
      <c r="L4" s="33" t="s">
        <v>12</v>
      </c>
    </row>
    <row r="5" spans="2:12" x14ac:dyDescent="0.3">
      <c r="B5" s="24" t="str" cm="1">
        <f t="array" ref="B5">IFERROR(
  INDEX(Planification!B$2:B$100,
    SMALL(
      IF(Planification!C$2:C$100="Sprint 2",
         ROW(Planification!B$2:B$100)-ROW(Planification!B$2)+1),
      ROW(A1)
    )
  ),
"")</f>
        <v>Créer un nouveau projet Expo</v>
      </c>
      <c r="C5" s="25" t="s">
        <v>26</v>
      </c>
      <c r="D5" s="26">
        <v>6.5</v>
      </c>
      <c r="E5" s="27">
        <v>1</v>
      </c>
      <c r="F5" s="25" t="s">
        <v>97</v>
      </c>
      <c r="G5" s="28"/>
      <c r="H5" s="26"/>
      <c r="I5" s="29"/>
      <c r="J5" s="28"/>
      <c r="K5" s="26"/>
      <c r="L5" s="29"/>
    </row>
    <row r="6" spans="2:12" ht="57.6" x14ac:dyDescent="0.3">
      <c r="B6" s="24" t="str" cm="1">
        <f t="array" ref="B6">IFERROR(
  INDEX(Planification!B$2:B$100,
    SMALL(
      IF(Planification!C$2:C$100="Sprint 2",
         ROW(Planification!B$2:B$100)-ROW(Planification!B$2)+1),
      ROW(A2)
    )
  ),
"")</f>
        <v>Créer un Game Manager</v>
      </c>
      <c r="C6" s="25" t="s">
        <v>27</v>
      </c>
      <c r="D6" s="26">
        <v>2.5</v>
      </c>
      <c r="E6" s="27">
        <v>0.1</v>
      </c>
      <c r="F6" s="25" t="s">
        <v>113</v>
      </c>
      <c r="G6" s="26">
        <v>2.5</v>
      </c>
      <c r="H6" s="27">
        <v>0.6</v>
      </c>
      <c r="I6" s="29" t="s">
        <v>112</v>
      </c>
      <c r="J6" s="28">
        <v>2.5</v>
      </c>
      <c r="K6" s="27">
        <v>0.7</v>
      </c>
      <c r="L6" s="29" t="s">
        <v>115</v>
      </c>
    </row>
    <row r="7" spans="2:12" ht="28.8" x14ac:dyDescent="0.3">
      <c r="B7" s="24" t="str" cm="1">
        <f t="array" ref="B7">IFERROR(
  INDEX(Planification!B$2:B$100,
    SMALL(
      IF(Planification!C$2:C$100="Sprint 2",
         ROW(Planification!B$2:B$100)-ROW(Planification!B$2)+1),
      ROW(A3)
    )
  ),
"")</f>
        <v>Créer le modèle de jeu (pas de EffectSequence)</v>
      </c>
      <c r="C7" s="25" t="s">
        <v>27</v>
      </c>
      <c r="D7" s="26">
        <v>2.5</v>
      </c>
      <c r="E7" s="27">
        <v>0.1</v>
      </c>
      <c r="F7" s="29" t="s">
        <v>100</v>
      </c>
      <c r="G7" s="26">
        <v>2.5</v>
      </c>
      <c r="H7" s="27">
        <v>0.7</v>
      </c>
      <c r="I7" s="29"/>
      <c r="J7" s="28">
        <v>2.5</v>
      </c>
      <c r="K7" s="27">
        <v>0.9</v>
      </c>
      <c r="L7" s="29" t="s">
        <v>116</v>
      </c>
    </row>
    <row r="8" spans="2:12" x14ac:dyDescent="0.3">
      <c r="B8" s="24" t="str" cm="1">
        <f t="array" ref="B8">IFERROR(
  INDEX(Planification!B$2:B$100,
    SMALL(
      IF(Planification!C$2:C$100="Sprint 2",
         ROW(Planification!B$2:B$100)-ROW(Planification!B$2)+1),
      ROW(A4)
    )
  ),
"")</f>
        <v>Command : RollCommand</v>
      </c>
      <c r="C8" s="25" t="s">
        <v>28</v>
      </c>
      <c r="D8" s="26"/>
      <c r="E8" s="26"/>
      <c r="F8" s="25"/>
      <c r="G8" s="28">
        <v>4</v>
      </c>
      <c r="H8" s="27">
        <v>1</v>
      </c>
      <c r="I8" s="29" t="s">
        <v>101</v>
      </c>
      <c r="J8" s="28"/>
      <c r="K8" s="26"/>
      <c r="L8" s="29"/>
    </row>
    <row r="9" spans="2:12" ht="25.8" customHeight="1" x14ac:dyDescent="0.3">
      <c r="B9" s="24" t="str" cm="1">
        <f t="array" ref="B9">IFERROR(
  INDEX(Planification!B$2:B$100,
    SMALL(
      IF(Planification!C$2:C$100="Sprint 2",
         ROW(Planification!B$2:B$100)-ROW(Planification!B$2)+1),
      ROW(A5)
    )
  ),
"")</f>
        <v>Command : UseDiceCommand</v>
      </c>
      <c r="C9" s="25" t="s">
        <v>26</v>
      </c>
      <c r="D9" s="26"/>
      <c r="E9" s="26"/>
      <c r="F9" s="25"/>
      <c r="G9" s="28"/>
      <c r="H9" s="26"/>
      <c r="I9" s="29"/>
      <c r="J9" s="28">
        <v>3</v>
      </c>
      <c r="K9" s="27">
        <v>1</v>
      </c>
      <c r="L9" s="29" t="s">
        <v>103</v>
      </c>
    </row>
    <row r="10" spans="2:12" x14ac:dyDescent="0.3">
      <c r="B10" s="24" t="str" cm="1">
        <f t="array" ref="B10">IFERROR(
  INDEX(Planification!B$2:B$100,
    SMALL(
      IF(Planification!C$2:C$100="Sprint 2",
         ROW(Planification!B$2:B$100)-ROW(Planification!B$2)+1),
      ROW(A6)
    )
  ),
"")</f>
        <v>Création de l'interface de Command et sérialisation (Client -&gt; Node.js)</v>
      </c>
      <c r="C10" s="25" t="s">
        <v>28</v>
      </c>
      <c r="D10" s="26"/>
      <c r="E10" s="26"/>
      <c r="F10" s="25"/>
      <c r="G10" s="28"/>
      <c r="H10" s="26"/>
      <c r="I10" s="29"/>
      <c r="J10" s="28"/>
      <c r="K10" s="26"/>
      <c r="L10" s="29"/>
    </row>
    <row r="11" spans="2:12" ht="28.8" x14ac:dyDescent="0.3">
      <c r="B11" s="24" t="str" cm="1">
        <f t="array" ref="B11">IFERROR(
  INDEX(Planification!B$2:B$100,
    SMALL(
      IF(Planification!C$2:C$100="Sprint 2",
         ROW(Planification!B$2:B$100)-ROW(Planification!B$2)+1),
      ROW(A7)
    )
  ),
"")</f>
        <v>Intégration du web socket dans Expo</v>
      </c>
      <c r="C11" s="25" t="s">
        <v>26</v>
      </c>
      <c r="D11" s="26">
        <v>4</v>
      </c>
      <c r="E11" s="27">
        <v>1</v>
      </c>
      <c r="F11" s="29" t="s">
        <v>99</v>
      </c>
      <c r="G11" s="28"/>
      <c r="H11" s="26"/>
      <c r="I11" s="29"/>
      <c r="J11" s="28"/>
      <c r="K11" s="26"/>
      <c r="L11" s="29"/>
    </row>
    <row r="12" spans="2:12" x14ac:dyDescent="0.3">
      <c r="B12" s="24" t="str" cm="1">
        <f t="array" ref="B12">IFERROR(
  INDEX(Planification!B$2:B$100,
    SMALL(
      IF(Planification!C$2:C$100="Sprint 2",
         ROW(Planification!B$2:B$100)-ROW(Planification!B$2)+1),
      ROW(A8)
    )
  ),
"")</f>
        <v>Creation d'un usager</v>
      </c>
      <c r="C12" s="25"/>
      <c r="D12" s="26"/>
      <c r="E12" s="26"/>
      <c r="F12" s="25"/>
      <c r="G12" s="28"/>
      <c r="H12" s="26"/>
      <c r="I12" s="29"/>
      <c r="J12" s="28"/>
      <c r="K12" s="26"/>
      <c r="L12" s="29"/>
    </row>
    <row r="13" spans="2:12" ht="28.8" x14ac:dyDescent="0.3">
      <c r="B13" s="24" t="str" cm="1">
        <f t="array" ref="B13">IFERROR(
  INDEX(Planification!B$2:B$100,
    SMALL(
      IF(Planification!C$2:C$100="Sprint 2",
         ROW(Planification!B$2:B$100)-ROW(Planification!B$2)+1),
      ROW(A9)
    )
  ),
"")</f>
        <v>Lancer une partie Entraînement (Joueur C. IA)</v>
      </c>
      <c r="C13" s="25" t="s">
        <v>28</v>
      </c>
      <c r="D13" s="26"/>
      <c r="E13" s="26"/>
      <c r="F13" s="25"/>
      <c r="G13" s="28">
        <v>6</v>
      </c>
      <c r="H13" s="27">
        <v>0.5</v>
      </c>
      <c r="I13" s="29" t="s">
        <v>108</v>
      </c>
      <c r="J13" s="28">
        <v>3</v>
      </c>
      <c r="K13" s="27">
        <v>0.7</v>
      </c>
      <c r="L13" s="29" t="s">
        <v>109</v>
      </c>
    </row>
    <row r="14" spans="2:12" ht="43.2" x14ac:dyDescent="0.3">
      <c r="B14" s="24" t="str" cm="1">
        <f t="array" ref="B14">IFERROR(
  INDEX(Planification!B$2:B$100,
    SMALL(
      IF(Planification!C$2:C$100="Sprint 2",
         ROW(Planification!B$2:B$100)-ROW(Planification!B$2)+1),
      ROW(A10)
    )
  ),
"")</f>
        <v>Créer la page religion</v>
      </c>
      <c r="C14" s="25" t="s">
        <v>26</v>
      </c>
      <c r="D14" s="26"/>
      <c r="E14" s="26"/>
      <c r="F14" s="25"/>
      <c r="G14" s="28"/>
      <c r="H14" s="26"/>
      <c r="I14" s="29"/>
      <c r="J14" s="28"/>
      <c r="K14" s="27">
        <v>0</v>
      </c>
      <c r="L14" s="29" t="s">
        <v>106</v>
      </c>
    </row>
    <row r="15" spans="2:12" ht="28.8" x14ac:dyDescent="0.3">
      <c r="B15" s="24" t="str" cm="1">
        <f t="array" ref="B15">IFERROR(
  INDEX(Planification!B$2:B$100,
    SMALL(
      IF(Planification!C$2:C$100="Sprint 2",
         ROW(Planification!B$2:B$100)-ROW(Planification!B$2)+1),
      ROW(A11)
    )
  ),
"")</f>
        <v>Créer la page artefact</v>
      </c>
      <c r="C15" s="25" t="s">
        <v>26</v>
      </c>
      <c r="D15" s="26"/>
      <c r="E15" s="26"/>
      <c r="F15" s="25"/>
      <c r="G15" s="28">
        <v>3</v>
      </c>
      <c r="H15" s="27">
        <v>0.3</v>
      </c>
      <c r="I15" s="29" t="s">
        <v>107</v>
      </c>
      <c r="J15" s="28"/>
      <c r="K15" s="26"/>
      <c r="L15" s="29"/>
    </row>
    <row r="16" spans="2:12" x14ac:dyDescent="0.3">
      <c r="B16" s="24" t="str" cm="1">
        <f t="array" ref="B16">IFERROR(
  INDEX(Planification!B$2:B$100,
    SMALL(
      IF(Planification!C$2:C$100="Sprint 2",
         ROW(Planification!B$2:B$100)-ROW(Planification!B$2)+1),
      ROW(A12)
    )
  ),
"")</f>
        <v>Créer la page combat (bouton pour lancer une partie)</v>
      </c>
      <c r="C16" s="25" t="s">
        <v>26</v>
      </c>
      <c r="D16" s="26"/>
      <c r="E16" s="26"/>
      <c r="F16" s="25"/>
      <c r="G16" s="28">
        <v>1</v>
      </c>
      <c r="H16" s="26"/>
      <c r="I16" s="29"/>
      <c r="J16" s="28"/>
      <c r="K16" s="26"/>
      <c r="L16" s="29"/>
    </row>
    <row r="17" spans="2:12" ht="32.4" customHeight="1" x14ac:dyDescent="0.3">
      <c r="B17" s="24" t="str" cm="1">
        <f t="array" ref="B17">IFERROR(
  INDEX(Planification!B$2:B$100,
    SMALL(
      IF(Planification!C$2:C$100="Sprint 2",
         ROW(Planification!B$2:B$100)-ROW(Planification!B$2)+1),
      ROW(A13)
    )
  ),
"")</f>
        <v>Créer une page de partie (version basique)</v>
      </c>
      <c r="C17" s="25" t="s">
        <v>26</v>
      </c>
      <c r="D17" s="26"/>
      <c r="E17" s="26"/>
      <c r="F17" s="25"/>
      <c r="G17" s="28">
        <v>3</v>
      </c>
      <c r="H17" s="27">
        <v>0.3</v>
      </c>
      <c r="I17" s="29" t="s">
        <v>105</v>
      </c>
      <c r="J17" s="28">
        <v>3</v>
      </c>
      <c r="K17" s="27">
        <v>0.6</v>
      </c>
      <c r="L17" s="29" t="s">
        <v>104</v>
      </c>
    </row>
    <row r="18" spans="2:12" x14ac:dyDescent="0.3">
      <c r="B18" s="24" t="str" cm="1">
        <f t="array" ref="B18">IFERROR(
  INDEX(Planification!B$2:B$100,
    SMALL(
      IF(Planification!C$2:C$100="Sprint 2",
         ROW(Planification!B$2:B$100)-ROW(Planification!B$2)+1),
      ROW(A14)
    )
  ),
"")</f>
        <v>Command : LockCommand</v>
      </c>
      <c r="C18" s="25" t="s">
        <v>28</v>
      </c>
      <c r="D18" s="26"/>
      <c r="E18" s="26"/>
      <c r="F18" s="25"/>
      <c r="G18" s="28">
        <v>2</v>
      </c>
      <c r="H18" s="27">
        <v>1</v>
      </c>
      <c r="I18" s="29"/>
      <c r="J18" s="28"/>
      <c r="K18" s="26"/>
      <c r="L18" s="29"/>
    </row>
    <row r="19" spans="2:12" x14ac:dyDescent="0.3">
      <c r="B19" s="24" t="str" cm="1">
        <f t="array" ref="B19">IFERROR(
  INDEX(Planification!B$2:B$100,
    SMALL(
      IF(Planification!C$2:C$100="Sprint 2",
         ROW(Planification!B$2:B$100)-ROW(Planification!B$2)+1),
      ROW(A15)
    )
  ),
"")</f>
        <v>Modifier sa religion (UpdateReligionCommand)</v>
      </c>
      <c r="C19" s="25"/>
      <c r="D19" s="26"/>
      <c r="E19" s="26"/>
      <c r="F19" s="25"/>
      <c r="G19" s="28"/>
      <c r="H19" s="26"/>
      <c r="I19" s="29"/>
      <c r="J19" s="28"/>
      <c r="K19" s="26"/>
      <c r="L19" s="29"/>
    </row>
    <row r="20" spans="2:12" x14ac:dyDescent="0.3">
      <c r="B20" s="24" t="str" cm="1">
        <f t="array" ref="B20">IFERROR(
  INDEX(Planification!B$2:B$100,
    SMALL(
      IF(Planification!C$2:C$100="Sprint 2",
         ROW(Planification!B$2:B$100)-ROW(Planification!B$2)+1),
      ROW(A16)
    )
  ),
"")</f>
        <v>Modifier ses artefacts (UpdateArtifactCommand)</v>
      </c>
      <c r="C20" s="25"/>
      <c r="D20" s="26"/>
      <c r="E20" s="26"/>
      <c r="F20" s="25"/>
      <c r="G20" s="28"/>
      <c r="H20" s="26"/>
      <c r="I20" s="29"/>
      <c r="J20" s="28"/>
      <c r="K20" s="26"/>
      <c r="L20" s="29"/>
    </row>
    <row r="21" spans="2:12" ht="28.8" x14ac:dyDescent="0.3">
      <c r="B21" s="24" t="str" cm="1">
        <f t="array" ref="B21">IFERROR(
  INDEX(Planification!B$2:B$100,
    SMALL(
      IF(Planification!C$2:C$100="Sprint 2",
         ROW(Planification!B$2:B$100)-ROW(Planification!B$2)+1),
      ROW(A17)
    )
  ),
"")</f>
        <v>Ajouter un chrono (temps de jeu)</v>
      </c>
      <c r="C21" s="25" t="s">
        <v>28</v>
      </c>
      <c r="D21" s="26"/>
      <c r="E21" s="26"/>
      <c r="F21" s="25"/>
      <c r="G21" s="28">
        <v>2</v>
      </c>
      <c r="H21" s="27">
        <v>0.7</v>
      </c>
      <c r="I21" s="29" t="s">
        <v>102</v>
      </c>
      <c r="J21" s="28"/>
      <c r="K21" s="26"/>
      <c r="L21" s="29"/>
    </row>
    <row r="22" spans="2:12" x14ac:dyDescent="0.3">
      <c r="B22" s="24" t="str" cm="1">
        <f t="array" ref="B22">IFERROR(
  INDEX(Planification!B$2:B$100,
    SMALL(
      IF(Planification!C$2:C$100="Sprint 2",
         ROW(Planification!B$2:B$100)-ROW(Planification!B$2)+1),
      ROW(A18)
    )
  ),
"")</f>
        <v>Command : EnchantCommand</v>
      </c>
      <c r="C22" s="25"/>
      <c r="D22" s="26"/>
      <c r="E22" s="26"/>
      <c r="F22" s="25"/>
      <c r="G22" s="28"/>
      <c r="H22" s="26"/>
      <c r="I22" s="29"/>
      <c r="J22" s="28"/>
      <c r="K22" s="26"/>
      <c r="L22" s="29"/>
    </row>
    <row r="23" spans="2:12" ht="57.6" x14ac:dyDescent="0.3">
      <c r="B23" s="24" t="str" cm="1">
        <f t="array" ref="B23">IFERROR(
  INDEX(Planification!B$2:B$100,
    SMALL(
      IF(Planification!C$2:C$100="Sprint 2",
         ROW(Planification!B$2:B$100)-ROW(Planification!B$2)+1),
      ROW(A19)
    )
  ),
"")</f>
        <v>Command: ForfeitCommand</v>
      </c>
      <c r="C23" s="25" t="s">
        <v>27</v>
      </c>
      <c r="D23" s="26"/>
      <c r="E23" s="26"/>
      <c r="F23" s="25"/>
      <c r="G23" s="26">
        <v>2.5</v>
      </c>
      <c r="H23" s="27">
        <v>1</v>
      </c>
      <c r="I23" s="29"/>
      <c r="J23" s="28"/>
      <c r="K23" s="27">
        <v>0.9</v>
      </c>
      <c r="L23" s="29" t="s">
        <v>114</v>
      </c>
    </row>
    <row r="24" spans="2:12" x14ac:dyDescent="0.3">
      <c r="B24" s="24" t="str" cm="1">
        <f t="array" ref="B24">IFERROR(
  INDEX(Planification!B$2:B$100,
    SMALL(
      IF(Planification!C$2:C$100="Sprint 2",
         ROW(Planification!B$2:B$100)-ROW(Planification!B$2)+1),
      ROW(A20)
    )
  ),
"")</f>
        <v>Command : EndPhaseCommand</v>
      </c>
      <c r="C24" s="25" t="s">
        <v>27</v>
      </c>
      <c r="D24" s="26"/>
      <c r="E24" s="26"/>
      <c r="F24" s="25"/>
      <c r="G24" s="26">
        <v>2.5</v>
      </c>
      <c r="H24" s="27">
        <v>0.5</v>
      </c>
      <c r="I24" s="29"/>
      <c r="J24" s="28"/>
      <c r="K24" s="26"/>
      <c r="L24" s="29"/>
    </row>
    <row r="25" spans="2:12" ht="57.6" x14ac:dyDescent="0.3">
      <c r="B25" s="24" t="s">
        <v>110</v>
      </c>
      <c r="C25" s="25" t="s">
        <v>27</v>
      </c>
      <c r="D25" s="26"/>
      <c r="E25" s="27"/>
      <c r="F25" s="25"/>
      <c r="G25" s="28"/>
      <c r="H25" s="26"/>
      <c r="I25" s="29"/>
      <c r="J25" s="28">
        <v>1.5</v>
      </c>
      <c r="K25" s="27">
        <v>1</v>
      </c>
      <c r="L25" s="29" t="s">
        <v>111</v>
      </c>
    </row>
    <row r="26" spans="2:12" x14ac:dyDescent="0.3">
      <c r="B26" s="24" t="str" cm="1">
        <f t="array" ref="B26">IFERROR(
  INDEX(Planification!B$2:B$100,
    SMALL(
      IF(Planification!C$2:C$100="Sprint 2",
         ROW(Planification!B$2:B$100)-ROW(Planification!B$2)+1),
      ROW(A22)
    )
  ),
"")</f>
        <v/>
      </c>
      <c r="C26" s="25"/>
      <c r="D26" s="26"/>
      <c r="E26" s="26"/>
      <c r="F26" s="25"/>
      <c r="G26" s="28"/>
      <c r="H26" s="26"/>
      <c r="I26" s="29"/>
      <c r="J26" s="28"/>
      <c r="K26" s="26"/>
      <c r="L26" s="29"/>
    </row>
    <row r="27" spans="2:12" x14ac:dyDescent="0.3">
      <c r="B27" s="24" t="str" cm="1">
        <f t="array" ref="B27">IFERROR(
  INDEX(Planification!B$2:B$100,
    SMALL(
      IF(Planification!C$2:C$100="Sprint 2",
         ROW(Planification!B$2:B$100)-ROW(Planification!B$2)+1),
      ROW(A23)
    )
  ),
"")</f>
        <v/>
      </c>
      <c r="C27" s="25"/>
      <c r="D27" s="26"/>
      <c r="E27" s="26"/>
      <c r="F27" s="25"/>
      <c r="G27" s="28"/>
      <c r="H27" s="26"/>
      <c r="I27" s="29"/>
      <c r="J27" s="28"/>
      <c r="K27" s="26"/>
      <c r="L27" s="29"/>
    </row>
    <row r="28" spans="2:12" x14ac:dyDescent="0.3">
      <c r="B28" s="7" t="str" cm="1">
        <f t="array" ref="B28">IFERROR(
  INDEX(Planification!B$2:B$100,
    SMALL(
      IF(Planification!C$2:C$100="Sprint 2",
         ROW(Planification!B$2:B$100)-ROW(Planification!B$2)+1),
      ROW(A24)
    )
  ),
"")</f>
        <v/>
      </c>
      <c r="C28" s="4"/>
      <c r="F28" s="4"/>
      <c r="I28" s="32"/>
      <c r="L28" s="32"/>
    </row>
    <row r="29" spans="2:12" x14ac:dyDescent="0.3">
      <c r="B29" s="7" t="str" cm="1">
        <f t="array" ref="B29">IFERROR(
  INDEX(Planification!B$2:B$100,
    SMALL(
      IF(Planification!C$2:C$100="Sprint 2",
         ROW(Planification!B$2:B$100)-ROW(Planification!B$2)+1),
      ROW(A25)
    )
  ),
"")</f>
        <v/>
      </c>
      <c r="C29" s="4"/>
      <c r="F29" s="4"/>
      <c r="I29" s="32"/>
      <c r="L29" s="32"/>
    </row>
    <row r="30" spans="2:12" x14ac:dyDescent="0.3">
      <c r="B30" s="7" t="str" cm="1">
        <f t="array" ref="B30">IFERROR(
  INDEX(Planification!B$2:B$100,
    SMALL(
      IF(Planification!C$2:C$100="Sprint 2",
         ROW(Planification!B$2:B$100)-ROW(Planification!B$2)+1),
      ROW(A26)
    )
  ),
"")</f>
        <v/>
      </c>
      <c r="C30" s="4"/>
      <c r="F30" s="4"/>
      <c r="I30" s="32"/>
      <c r="L30" s="32"/>
    </row>
    <row r="31" spans="2:12" x14ac:dyDescent="0.3">
      <c r="B31" s="7" t="str" cm="1">
        <f t="array" ref="B31">IFERROR(
  INDEX(Planification!B$2:B$100,
    SMALL(
      IF(Planification!C$2:C$100="Sprint 2",
         ROW(Planification!B$2:B$100)-ROW(Planification!B$2)+1),
      ROW(A27)
    )
  ),
"")</f>
        <v/>
      </c>
      <c r="C31" s="4"/>
      <c r="F31" s="4"/>
      <c r="I31" s="32"/>
      <c r="L31" s="32"/>
    </row>
    <row r="32" spans="2:12" x14ac:dyDescent="0.3">
      <c r="B32" s="7" t="str" cm="1">
        <f t="array" ref="B32">IFERROR(
  INDEX(Planification!B$2:B$100,
    SMALL(
      IF(Planification!C$2:C$100="Sprint 2",
         ROW(Planification!B$2:B$100)-ROW(Planification!B$2)+1),
      ROW(A28)
    )
  ),
"")</f>
        <v/>
      </c>
      <c r="C32" s="4"/>
      <c r="F32" s="4"/>
      <c r="I32" s="32"/>
      <c r="L32" s="32"/>
    </row>
    <row r="33" spans="2:12" x14ac:dyDescent="0.3">
      <c r="B33" s="7" t="str" cm="1">
        <f t="array" ref="B33">IFERROR(
  INDEX(Planification!B$2:B$100,
    SMALL(
      IF(Planification!C$2:C$100="Sprint 2",
         ROW(Planification!B$2:B$100)-ROW(Planification!B$2)+1),
      ROW(A29)
    )
  ),
"")</f>
        <v/>
      </c>
      <c r="C33" s="4"/>
      <c r="F33" s="4"/>
      <c r="I33" s="32"/>
      <c r="L33" s="32"/>
    </row>
    <row r="34" spans="2:12" x14ac:dyDescent="0.3">
      <c r="B34" s="7" t="str" cm="1">
        <f t="array" ref="B34">IFERROR(
  INDEX(Planification!B$2:B$100,
    SMALL(
      IF(Planification!C$2:C$100="Sprint 2",
         ROW(Planification!B$2:B$100)-ROW(Planification!B$2)+1),
      ROW(A30)
    )
  ),
"")</f>
        <v/>
      </c>
      <c r="C34" s="4"/>
      <c r="F34" s="4"/>
      <c r="I34" s="32"/>
      <c r="L34" s="32"/>
    </row>
    <row r="35" spans="2:12" x14ac:dyDescent="0.3">
      <c r="B35" s="7" t="str" cm="1">
        <f t="array" ref="B35">IFERROR(
  INDEX(Planification!B$2:B$100,
    SMALL(
      IF(Planification!C$2:C$100="Sprint 2",
         ROW(Planification!B$2:B$100)-ROW(Planification!B$2)+1),
      ROW(A31)
    )
  ),
"")</f>
        <v/>
      </c>
      <c r="C35" s="4"/>
      <c r="F35" s="4"/>
      <c r="I35" s="32"/>
      <c r="L35" s="32"/>
    </row>
    <row r="36" spans="2:12" x14ac:dyDescent="0.3">
      <c r="B36" s="7" t="str" cm="1">
        <f t="array" ref="B36">IFERROR(
  INDEX(Planification!B$2:B$100,
    SMALL(
      IF(Planification!C$2:C$100="Sprint 2",
         ROW(Planification!B$2:B$100)-ROW(Planification!B$2)+1),
      ROW(A32)
    )
  ),
"")</f>
        <v/>
      </c>
      <c r="C36" s="4"/>
      <c r="F36" s="4"/>
      <c r="I36" s="32"/>
      <c r="L36" s="32"/>
    </row>
    <row r="37" spans="2:12" x14ac:dyDescent="0.3">
      <c r="B37" s="7" t="str" cm="1">
        <f t="array" ref="B37">IFERROR(
  INDEX(Planification!B$2:B$100,
    SMALL(
      IF(Planification!C$2:C$100="Sprint 2",
         ROW(Planification!B$2:B$100)-ROW(Planification!B$2)+1),
      ROW(A33)
    )
  ),
"")</f>
        <v/>
      </c>
      <c r="C37" s="4"/>
      <c r="F37" s="4"/>
      <c r="I37" s="32"/>
      <c r="L37" s="32"/>
    </row>
    <row r="38" spans="2:12" x14ac:dyDescent="0.3">
      <c r="B38" s="7" t="str" cm="1">
        <f t="array" ref="B38">IFERROR(
  INDEX(Planification!B$2:B$100,
    SMALL(
      IF(Planification!C$2:C$100="Sprint 2",
         ROW(Planification!B$2:B$100)-ROW(Planification!B$2)+1),
      ROW(A34)
    )
  ),
"")</f>
        <v/>
      </c>
      <c r="C38" s="4"/>
      <c r="F38" s="4"/>
      <c r="I38" s="32"/>
      <c r="L38" s="32"/>
    </row>
    <row r="39" spans="2:12" x14ac:dyDescent="0.3">
      <c r="B39" s="7" t="str" cm="1">
        <f t="array" ref="B39">IFERROR(
  INDEX(Planification!B$2:B$100,
    SMALL(
      IF(Planification!C$2:C$100="Sprint 2",
         ROW(Planification!B$2:B$100)-ROW(Planification!B$2)+1),
      ROW(A35)
    )
  ),
"")</f>
        <v/>
      </c>
      <c r="C39" s="4"/>
      <c r="F39" s="4"/>
      <c r="I39" s="32"/>
      <c r="L39" s="32"/>
    </row>
    <row r="40" spans="2:12" x14ac:dyDescent="0.3">
      <c r="B40" s="7" t="str" cm="1">
        <f t="array" ref="B40">IFERROR(
  INDEX(Planification!B$2:B$100,
    SMALL(
      IF(Planification!C$2:C$100="Sprint 2",
         ROW(Planification!B$2:B$100)-ROW(Planification!B$2)+1),
      ROW(A36)
    )
  ),
"")</f>
        <v/>
      </c>
      <c r="C40" s="4"/>
      <c r="F40" s="4"/>
      <c r="I40" s="32"/>
      <c r="L40" s="32"/>
    </row>
    <row r="41" spans="2:12" x14ac:dyDescent="0.3">
      <c r="B41" s="7" t="str" cm="1">
        <f t="array" ref="B41">IFERROR(
  INDEX(Planification!B$2:B$100,
    SMALL(
      IF(Planification!C$2:C$100="Sprint 2",
         ROW(Planification!B$2:B$100)-ROW(Planification!B$2)+1),
      ROW(A37)
    )
  ),
"")</f>
        <v/>
      </c>
      <c r="C41" s="4"/>
      <c r="F41" s="4"/>
      <c r="I41" s="32"/>
      <c r="L41" s="32"/>
    </row>
  </sheetData>
  <conditionalFormatting sqref="B5:L41">
    <cfRule type="expression" dxfId="8" priority="1">
      <formula>$C5="Hugo"</formula>
    </cfRule>
    <cfRule type="expression" dxfId="7" priority="2">
      <formula>$C5="Fred &amp; Hugo"</formula>
    </cfRule>
    <cfRule type="expression" dxfId="6" priority="3">
      <formula>$C5="Fred"</formula>
    </cfRule>
  </conditionalFormatting>
  <dataValidations count="1">
    <dataValidation type="list" allowBlank="1" showInputMessage="1" showErrorMessage="1" sqref="C5:C41" xr:uid="{905ABB1E-A12C-440C-8B81-3D52808182A1}">
      <formula1>Responsable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2E41-CCB4-4A52-8A11-897838372758}">
  <sheetPr>
    <tabColor theme="1"/>
  </sheetPr>
  <dimension ref="B1:E40"/>
  <sheetViews>
    <sheetView workbookViewId="0">
      <selection activeCell="I16" sqref="I16"/>
    </sheetView>
  </sheetViews>
  <sheetFormatPr defaultColWidth="11.5546875" defaultRowHeight="14.4" x14ac:dyDescent="0.3"/>
  <cols>
    <col min="1" max="1" width="1.88671875" customWidth="1"/>
    <col min="2" max="2" width="70.88671875" customWidth="1"/>
    <col min="3" max="3" width="81" customWidth="1"/>
    <col min="4" max="4" width="15.21875" bestFit="1" customWidth="1"/>
    <col min="5" max="5" width="9" bestFit="1" customWidth="1"/>
  </cols>
  <sheetData>
    <row r="1" spans="2:5" ht="46.2" x14ac:dyDescent="0.85">
      <c r="B1" s="1" t="s">
        <v>19</v>
      </c>
    </row>
    <row r="3" spans="2:5" ht="21" x14ac:dyDescent="0.4">
      <c r="B3" s="8" t="s">
        <v>21</v>
      </c>
      <c r="C3" s="8" t="s">
        <v>20</v>
      </c>
      <c r="D3" s="8" t="s">
        <v>124</v>
      </c>
      <c r="E3" s="8" t="s">
        <v>8</v>
      </c>
    </row>
    <row r="4" spans="2:5" x14ac:dyDescent="0.3">
      <c r="B4" t="s">
        <v>126</v>
      </c>
      <c r="C4" s="2" t="s">
        <v>125</v>
      </c>
      <c r="D4" s="2"/>
      <c r="E4" s="2"/>
    </row>
    <row r="5" spans="2:5" x14ac:dyDescent="0.3">
      <c r="B5" s="2" t="s">
        <v>127</v>
      </c>
      <c r="C5" s="2" t="s">
        <v>128</v>
      </c>
      <c r="D5" s="2"/>
      <c r="E5" s="2"/>
    </row>
    <row r="6" spans="2:5" x14ac:dyDescent="0.3">
      <c r="B6" s="2" t="s">
        <v>142</v>
      </c>
      <c r="C6" s="2" t="s">
        <v>141</v>
      </c>
      <c r="D6" s="2"/>
      <c r="E6" s="2"/>
    </row>
    <row r="7" spans="2:5" x14ac:dyDescent="0.3">
      <c r="B7" s="2" t="s">
        <v>129</v>
      </c>
      <c r="C7" s="2" t="s">
        <v>130</v>
      </c>
      <c r="D7" s="2"/>
      <c r="E7" s="2"/>
    </row>
    <row r="8" spans="2:5" x14ac:dyDescent="0.3">
      <c r="B8" s="2" t="s">
        <v>131</v>
      </c>
      <c r="C8" s="2" t="s">
        <v>132</v>
      </c>
      <c r="D8" s="2"/>
      <c r="E8" s="2"/>
    </row>
    <row r="9" spans="2:5" x14ac:dyDescent="0.3">
      <c r="B9" s="2" t="s">
        <v>136</v>
      </c>
      <c r="C9" s="2"/>
      <c r="D9" s="2"/>
      <c r="E9" s="2"/>
    </row>
    <row r="10" spans="2:5" x14ac:dyDescent="0.3">
      <c r="B10" s="2" t="s">
        <v>137</v>
      </c>
      <c r="C10" s="2"/>
      <c r="D10" s="2"/>
      <c r="E10" s="2"/>
    </row>
    <row r="11" spans="2:5" x14ac:dyDescent="0.3">
      <c r="B11" s="2" t="s">
        <v>138</v>
      </c>
      <c r="C11" s="2"/>
      <c r="D11" s="2"/>
      <c r="E11" s="2"/>
    </row>
    <row r="12" spans="2:5" x14ac:dyDescent="0.3">
      <c r="B12" s="2" t="s">
        <v>139</v>
      </c>
      <c r="C12" s="2"/>
      <c r="D12" s="2"/>
      <c r="E12" s="2"/>
    </row>
    <row r="13" spans="2:5" x14ac:dyDescent="0.3">
      <c r="B13" s="2" t="s">
        <v>140</v>
      </c>
      <c r="C13" s="2"/>
      <c r="D13" s="2"/>
      <c r="E13" s="2"/>
    </row>
    <row r="14" spans="2:5" x14ac:dyDescent="0.3">
      <c r="B14" s="2" t="s">
        <v>143</v>
      </c>
      <c r="C14" s="2"/>
      <c r="D14" s="2"/>
      <c r="E14" s="2"/>
    </row>
    <row r="15" spans="2:5" x14ac:dyDescent="0.3">
      <c r="B15" s="2" t="s">
        <v>146</v>
      </c>
      <c r="C15" s="2"/>
      <c r="D15" s="2"/>
      <c r="E15" s="2"/>
    </row>
    <row r="16" spans="2:5" x14ac:dyDescent="0.3">
      <c r="B16" s="2" t="s">
        <v>147</v>
      </c>
      <c r="C16" s="2"/>
      <c r="D16" s="2"/>
      <c r="E16" s="2"/>
    </row>
    <row r="17" spans="2:5" x14ac:dyDescent="0.3">
      <c r="B17" s="2"/>
      <c r="C17" s="2"/>
      <c r="D17" s="2"/>
      <c r="E17" s="2"/>
    </row>
    <row r="18" spans="2:5" x14ac:dyDescent="0.3">
      <c r="B18" s="2"/>
      <c r="C18" s="2"/>
      <c r="D18" s="2"/>
      <c r="E18" s="2"/>
    </row>
    <row r="19" spans="2:5" x14ac:dyDescent="0.3">
      <c r="B19" s="2"/>
      <c r="C19" s="2"/>
      <c r="D19" s="2"/>
      <c r="E19" s="2"/>
    </row>
    <row r="20" spans="2:5" x14ac:dyDescent="0.3">
      <c r="B20" s="2"/>
      <c r="C20" s="2"/>
      <c r="D20" s="2"/>
      <c r="E20" s="2"/>
    </row>
    <row r="21" spans="2:5" x14ac:dyDescent="0.3">
      <c r="B21" s="2"/>
      <c r="C21" s="2"/>
      <c r="D21" s="2"/>
      <c r="E21" s="2"/>
    </row>
    <row r="22" spans="2:5" x14ac:dyDescent="0.3">
      <c r="B22" s="2"/>
      <c r="C22" s="2"/>
      <c r="D22" s="2"/>
      <c r="E22" s="2"/>
    </row>
    <row r="23" spans="2:5" ht="21" x14ac:dyDescent="0.4">
      <c r="B23" s="8" t="s">
        <v>133</v>
      </c>
      <c r="C23" s="2"/>
      <c r="D23" s="2"/>
      <c r="E23" s="2"/>
    </row>
    <row r="24" spans="2:5" x14ac:dyDescent="0.3">
      <c r="B24" s="2" t="s">
        <v>134</v>
      </c>
      <c r="C24" s="2" t="s">
        <v>135</v>
      </c>
      <c r="D24" s="2"/>
      <c r="E24" s="2"/>
    </row>
    <row r="25" spans="2:5" x14ac:dyDescent="0.3">
      <c r="B25" t="s">
        <v>145</v>
      </c>
      <c r="C25" s="2"/>
      <c r="D25" s="2"/>
      <c r="E25" s="2"/>
    </row>
    <row r="26" spans="2:5" x14ac:dyDescent="0.3">
      <c r="B26" s="2" t="s">
        <v>144</v>
      </c>
      <c r="C26" s="2"/>
      <c r="D26" s="2"/>
      <c r="E26" s="2"/>
    </row>
    <row r="27" spans="2:5" x14ac:dyDescent="0.3">
      <c r="B27" s="2"/>
      <c r="C27" s="2"/>
      <c r="D27" s="2"/>
      <c r="E27" s="2"/>
    </row>
    <row r="28" spans="2:5" x14ac:dyDescent="0.3">
      <c r="B28" s="2"/>
      <c r="C28" s="2"/>
      <c r="D28" s="2"/>
      <c r="E28" s="2"/>
    </row>
    <row r="29" spans="2:5" x14ac:dyDescent="0.3">
      <c r="B29" s="2"/>
      <c r="C29" s="2"/>
      <c r="D29" s="2"/>
      <c r="E29" s="2"/>
    </row>
    <row r="30" spans="2:5" x14ac:dyDescent="0.3">
      <c r="B30" s="2"/>
      <c r="C30" s="2"/>
      <c r="D30" s="2"/>
      <c r="E30" s="2"/>
    </row>
    <row r="31" spans="2:5" x14ac:dyDescent="0.3">
      <c r="B31" s="2"/>
      <c r="C31" s="2"/>
      <c r="D31" s="2"/>
      <c r="E31" s="2"/>
    </row>
    <row r="32" spans="2:5" x14ac:dyDescent="0.3">
      <c r="B32" s="2"/>
      <c r="C32" s="2"/>
      <c r="D32" s="2"/>
      <c r="E32" s="2"/>
    </row>
    <row r="33" spans="2:5" x14ac:dyDescent="0.3">
      <c r="B33" s="2"/>
      <c r="C33" s="2"/>
      <c r="D33" s="2"/>
      <c r="E33" s="2"/>
    </row>
    <row r="34" spans="2:5" x14ac:dyDescent="0.3">
      <c r="B34" s="2"/>
      <c r="C34" s="2"/>
      <c r="D34" s="2"/>
      <c r="E34" s="2"/>
    </row>
    <row r="35" spans="2:5" x14ac:dyDescent="0.3">
      <c r="B35" s="2"/>
      <c r="C35" s="2"/>
      <c r="D35" s="2"/>
      <c r="E35" s="2"/>
    </row>
    <row r="36" spans="2:5" x14ac:dyDescent="0.3">
      <c r="B36" s="2"/>
      <c r="C36" s="2"/>
      <c r="D36" s="2"/>
      <c r="E36" s="2"/>
    </row>
    <row r="37" spans="2:5" x14ac:dyDescent="0.3">
      <c r="B37" s="2"/>
      <c r="C37" s="2"/>
      <c r="D37" s="2"/>
      <c r="E37" s="2"/>
    </row>
    <row r="38" spans="2:5" x14ac:dyDescent="0.3">
      <c r="B38" s="2"/>
      <c r="C38" s="2"/>
      <c r="D38" s="2"/>
      <c r="E38" s="2"/>
    </row>
    <row r="39" spans="2:5" x14ac:dyDescent="0.3">
      <c r="B39" s="2"/>
      <c r="C39" s="2"/>
      <c r="D39" s="2"/>
      <c r="E39" s="2"/>
    </row>
    <row r="40" spans="2:5" x14ac:dyDescent="0.3">
      <c r="B40" s="2"/>
      <c r="C40" s="2"/>
      <c r="D40" s="2"/>
      <c r="E4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81AE-6DCE-4F2E-9BC3-78C1EB9A33C7}">
  <sheetPr>
    <tabColor theme="4" tint="0.39997558519241921"/>
  </sheetPr>
  <dimension ref="B1:L41"/>
  <sheetViews>
    <sheetView workbookViewId="0">
      <selection activeCell="L16" sqref="L16"/>
    </sheetView>
  </sheetViews>
  <sheetFormatPr defaultColWidth="11.5546875" defaultRowHeight="14.4" x14ac:dyDescent="0.3"/>
  <cols>
    <col min="1" max="1" width="1.88671875" customWidth="1"/>
    <col min="2" max="2" width="44.44140625" bestFit="1" customWidth="1"/>
    <col min="3" max="3" width="17.109375" customWidth="1"/>
    <col min="4" max="4" width="15.6640625" style="9" customWidth="1"/>
    <col min="5" max="5" width="21.33203125" style="9" customWidth="1"/>
    <col min="6" max="6" width="31.21875" style="9" customWidth="1"/>
    <col min="7" max="7" width="9.5546875" style="9" customWidth="1"/>
    <col min="8" max="8" width="16.88671875" style="9" customWidth="1"/>
    <col min="9" max="9" width="28.6640625" style="9" customWidth="1"/>
    <col min="10" max="10" width="9.88671875" style="9" customWidth="1"/>
    <col min="11" max="11" width="16.33203125" style="9" customWidth="1"/>
    <col min="12" max="12" width="45.5546875" style="9" bestFit="1" customWidth="1"/>
  </cols>
  <sheetData>
    <row r="1" spans="2:12" ht="46.2" x14ac:dyDescent="0.85">
      <c r="B1" s="21" t="s">
        <v>16</v>
      </c>
    </row>
    <row r="3" spans="2:12" ht="21" x14ac:dyDescent="0.4">
      <c r="B3" s="6"/>
      <c r="C3" s="3"/>
      <c r="D3" s="23" t="s">
        <v>13</v>
      </c>
      <c r="E3" s="23"/>
      <c r="F3" s="23"/>
      <c r="G3" s="23" t="s">
        <v>14</v>
      </c>
      <c r="H3" s="23"/>
      <c r="I3" s="23"/>
      <c r="J3" s="23" t="s">
        <v>15</v>
      </c>
      <c r="K3" s="23"/>
      <c r="L3" s="34"/>
    </row>
    <row r="4" spans="2:12" ht="21" x14ac:dyDescent="0.4">
      <c r="B4" s="6" t="s">
        <v>1</v>
      </c>
      <c r="C4" s="3" t="s">
        <v>7</v>
      </c>
      <c r="D4" s="23" t="s">
        <v>10</v>
      </c>
      <c r="E4" s="23" t="s">
        <v>11</v>
      </c>
      <c r="F4" s="23" t="s">
        <v>12</v>
      </c>
      <c r="G4" s="23" t="s">
        <v>8</v>
      </c>
      <c r="H4" s="23" t="s">
        <v>9</v>
      </c>
      <c r="I4" s="23" t="s">
        <v>12</v>
      </c>
      <c r="J4" s="23" t="s">
        <v>8</v>
      </c>
      <c r="K4" s="23" t="s">
        <v>9</v>
      </c>
      <c r="L4" s="34" t="s">
        <v>12</v>
      </c>
    </row>
    <row r="5" spans="2:12" x14ac:dyDescent="0.3">
      <c r="B5" s="7" t="str" cm="1">
        <f t="array" ref="B5">IFERROR(
  INDEX(Planification!B$2:B$100,
    SMALL(
      IF(Planification!C$2:C$100="Sprint 3",
         ROW(Planification!B$2:B$100)-ROW(Planification!B$2)+1),
      ROW(A1)
    )
  ),
"")</f>
        <v>Créer une machine virtuelle Digital Ocean</v>
      </c>
      <c r="C5" s="4" t="s">
        <v>26</v>
      </c>
      <c r="D5" s="9">
        <v>5</v>
      </c>
      <c r="E5" s="36">
        <v>1</v>
      </c>
      <c r="F5" s="35"/>
      <c r="I5" s="35"/>
      <c r="L5" s="35"/>
    </row>
    <row r="6" spans="2:12" x14ac:dyDescent="0.3">
      <c r="B6" s="7" t="str" cm="1">
        <f t="array" ref="B6">IFERROR(
  INDEX(Planification!B$2:B$100,
    SMALL(
      IF(Planification!C$2:C$100="Sprint 3",
         ROW(Planification!B$2:B$100)-ROW(Planification!B$2)+1),
      ROW(A2)
    )
  ),
"")</f>
        <v>Créer une base de données SQL</v>
      </c>
      <c r="C6" s="4" t="s">
        <v>26</v>
      </c>
      <c r="F6" s="35"/>
      <c r="G6" s="9">
        <v>5</v>
      </c>
      <c r="H6" s="36">
        <v>0.8</v>
      </c>
      <c r="I6" s="35" t="s">
        <v>149</v>
      </c>
      <c r="J6" s="9">
        <v>2</v>
      </c>
      <c r="K6" s="36">
        <v>1</v>
      </c>
      <c r="L6" s="35" t="s">
        <v>148</v>
      </c>
    </row>
    <row r="7" spans="2:12" ht="30.6" customHeight="1" x14ac:dyDescent="0.3">
      <c r="B7" s="7" t="str" cm="1">
        <f t="array" ref="B7">IFERROR(
  INDEX(Planification!B$2:B$100,
    SMALL(
      IF(Planification!C$2:C$100="Sprint 3",
         ROW(Planification!B$2:B$100)-ROW(Planification!B$2)+1),
      ROW(A3)
    )
  ),
"")</f>
        <v>Créer le DAO dans Game Manager</v>
      </c>
      <c r="C7" s="4" t="s">
        <v>28</v>
      </c>
      <c r="F7" s="35"/>
      <c r="I7" s="35"/>
      <c r="J7" s="9">
        <v>3</v>
      </c>
      <c r="K7" s="36">
        <v>0.5</v>
      </c>
      <c r="L7" s="37" t="s">
        <v>150</v>
      </c>
    </row>
    <row r="8" spans="2:12" ht="43.2" x14ac:dyDescent="0.3">
      <c r="B8" s="7" t="str" cm="1">
        <f t="array" ref="B8">IFERROR(
  INDEX(Planification!B$2:B$100,
    SMALL(
      IF(Planification!C$2:C$100="Sprint 3",
         ROW(Planification!B$2:B$100)-ROW(Planification!B$2)+1),
      ROW(A4)
    )
  ),
"")</f>
        <v>Héberger serveur sur la machine virtuelle</v>
      </c>
      <c r="C8" s="4" t="s">
        <v>26</v>
      </c>
      <c r="D8" s="9">
        <v>4</v>
      </c>
      <c r="E8" s="36">
        <v>0.8</v>
      </c>
      <c r="F8" s="37" t="s">
        <v>117</v>
      </c>
      <c r="I8" s="35"/>
      <c r="L8" s="35"/>
    </row>
    <row r="9" spans="2:12" x14ac:dyDescent="0.3">
      <c r="B9" s="43" t="str" cm="1">
        <f t="array" ref="B9">IFERROR(
  INDEX(Planification!B$2:B$100,
    SMALL(
      IF(Planification!C$2:C$100="Sprint 3",
         ROW(Planification!B$2:B$100)-ROW(Planification!B$2)+1),
      ROW(A5)
    )
  ),
"")</f>
        <v>Command : FindMatchCommand (Joueur C. Joueur)</v>
      </c>
      <c r="C9" s="4"/>
      <c r="F9" s="35"/>
      <c r="I9" s="35"/>
      <c r="L9" s="35"/>
    </row>
    <row r="10" spans="2:12" x14ac:dyDescent="0.3">
      <c r="B10" s="7" t="str" cm="1">
        <f t="array" ref="B10">IFERROR(
  INDEX(Planification!B$2:B$100,
    SMALL(
      IF(Planification!C$2:C$100="Sprint 3",
         ROW(Planification!B$2:B$100)-ROW(Planification!B$2)+1),
      ROW(A6)
    )
  ),
"")</f>
        <v>Command : ArtifactCommand</v>
      </c>
      <c r="C10" s="4" t="s">
        <v>27</v>
      </c>
      <c r="F10" s="35"/>
      <c r="I10" s="35"/>
      <c r="J10" s="9">
        <v>2</v>
      </c>
      <c r="K10" s="36">
        <v>1</v>
      </c>
      <c r="L10" s="35" t="s">
        <v>164</v>
      </c>
    </row>
    <row r="11" spans="2:12" x14ac:dyDescent="0.3">
      <c r="B11" s="43" t="str" cm="1">
        <f t="array" ref="B11">IFERROR(
  INDEX(Planification!B$2:B$100,
    SMALL(
      IF(Planification!C$2:C$100="Sprint 3",
         ROW(Planification!B$2:B$100)-ROW(Planification!B$2)+1),
      ROW(A7)
    )
  ),
"")</f>
        <v>Command : SummonCommand</v>
      </c>
      <c r="C11" s="4"/>
      <c r="F11" s="35"/>
      <c r="I11" s="35"/>
      <c r="L11" s="35"/>
    </row>
    <row r="12" spans="2:12" x14ac:dyDescent="0.3">
      <c r="B12" s="7" t="str" cm="1">
        <f t="array" ref="B12">IFERROR(
  INDEX(Planification!B$2:B$100,
    SMALL(
      IF(Planification!C$2:C$100="Sprint 3",
         ROW(Planification!B$2:B$100)-ROW(Planification!B$2)+1),
      ROW(A8)
    )
  ),
"")</f>
        <v>Creation des effect Sequence</v>
      </c>
      <c r="C12" s="4" t="s">
        <v>26</v>
      </c>
      <c r="F12" s="35"/>
      <c r="G12" s="9">
        <v>4</v>
      </c>
      <c r="H12" s="36">
        <v>1</v>
      </c>
      <c r="I12" s="35"/>
      <c r="L12" s="35"/>
    </row>
    <row r="13" spans="2:12" ht="57" customHeight="1" x14ac:dyDescent="0.3">
      <c r="B13" s="40" t="str" cm="1">
        <f t="array" ref="B13">IFERROR(
  INDEX(Planification!B$2:B$100,
    SMALL(
      IF(Planification!C$2:C$100="Sprint 3",
         ROW(Planification!B$2:B$100)-ROW(Planification!B$2)+1),
      ROW(A9)
    )
  ),
"")</f>
        <v>Creation du EffectSequence Factory</v>
      </c>
      <c r="C13" s="41" t="s">
        <v>26</v>
      </c>
      <c r="D13" s="26"/>
      <c r="E13" s="26"/>
      <c r="F13" s="38"/>
      <c r="G13" s="26">
        <v>2</v>
      </c>
      <c r="H13" s="27">
        <v>1</v>
      </c>
      <c r="I13" s="39" t="s">
        <v>118</v>
      </c>
      <c r="L13" s="35"/>
    </row>
    <row r="14" spans="2:12" ht="27" customHeight="1" x14ac:dyDescent="0.3">
      <c r="B14" s="7" t="str" cm="1">
        <f t="array" ref="B14">IFERROR(
  INDEX(Planification!B$2:B$100,
    SMALL(
      IF(Planification!C$2:C$100="Sprint 3",
         ROW(Planification!B$2:B$100)-ROW(Planification!B$2)+1),
      ROW(A10)
    )
  ),
"")</f>
        <v>Formatage du visuel des artefacts</v>
      </c>
      <c r="C14" s="4" t="s">
        <v>26</v>
      </c>
      <c r="D14" s="9">
        <v>3</v>
      </c>
      <c r="E14" s="36">
        <v>0.5</v>
      </c>
      <c r="F14" s="37" t="s">
        <v>151</v>
      </c>
      <c r="I14" s="35"/>
      <c r="K14" s="36"/>
      <c r="L14" s="35"/>
    </row>
    <row r="15" spans="2:12" ht="72" x14ac:dyDescent="0.3">
      <c r="B15" s="24" t="str" cm="1">
        <f t="array" ref="B15">IFERROR(
  INDEX(Planification!B$2:B$100,
    SMALL(
      IF(Planification!C$2:C$100="Sprint 3",
         ROW(Planification!B$2:B$100)-ROW(Planification!B$2)+1),
      ROW(A11)
    )
  ),
"")</f>
        <v>Creation des Status Effect et de la Status Phase</v>
      </c>
      <c r="C15" s="25" t="s">
        <v>26</v>
      </c>
      <c r="D15" s="26"/>
      <c r="E15" s="26"/>
      <c r="F15" s="38"/>
      <c r="G15" s="26">
        <v>2</v>
      </c>
      <c r="H15" s="27">
        <v>0.75</v>
      </c>
      <c r="I15" s="39" t="s">
        <v>119</v>
      </c>
      <c r="L15" s="35"/>
    </row>
    <row r="16" spans="2:12" ht="43.2" x14ac:dyDescent="0.3">
      <c r="B16" s="7" t="str" cm="1">
        <f t="array" ref="B16">IFERROR(
  INDEX(Planification!B$2:B$100,
    SMALL(
      IF(Planification!C$2:C$100="Sprint 3",
         ROW(Planification!B$2:B$100)-ROW(Planification!B$2)+1),
      ROW(A12)
    )
  ),
"")</f>
        <v>Implémentation de la Queue</v>
      </c>
      <c r="C16" s="4" t="s">
        <v>27</v>
      </c>
      <c r="F16" s="35"/>
      <c r="I16" s="35"/>
      <c r="J16" s="9">
        <v>3</v>
      </c>
      <c r="K16" s="36">
        <v>0.5</v>
      </c>
      <c r="L16" s="37" t="s">
        <v>167</v>
      </c>
    </row>
    <row r="17" spans="2:12" ht="57.6" x14ac:dyDescent="0.3">
      <c r="B17" s="7" t="s">
        <v>154</v>
      </c>
      <c r="C17" s="4" t="s">
        <v>28</v>
      </c>
      <c r="F17" s="35"/>
      <c r="I17" s="35"/>
      <c r="J17" s="9">
        <v>3</v>
      </c>
      <c r="K17" s="36">
        <v>0.9</v>
      </c>
      <c r="L17" s="37" t="s">
        <v>165</v>
      </c>
    </row>
    <row r="18" spans="2:12" ht="43.2" x14ac:dyDescent="0.3">
      <c r="B18" s="7" t="s">
        <v>120</v>
      </c>
      <c r="C18" s="4" t="s">
        <v>26</v>
      </c>
      <c r="F18" s="35"/>
      <c r="G18" s="9">
        <v>4</v>
      </c>
      <c r="H18" s="36">
        <v>0.75</v>
      </c>
      <c r="I18" s="37" t="s">
        <v>121</v>
      </c>
      <c r="L18" s="35"/>
    </row>
    <row r="19" spans="2:12" ht="30" customHeight="1" x14ac:dyDescent="0.3">
      <c r="B19" s="7" t="s">
        <v>122</v>
      </c>
      <c r="C19" s="4" t="s">
        <v>26</v>
      </c>
      <c r="F19" s="35"/>
      <c r="I19" s="35"/>
      <c r="J19" s="9">
        <v>2</v>
      </c>
      <c r="K19" s="36">
        <v>1</v>
      </c>
      <c r="L19" s="37" t="s">
        <v>152</v>
      </c>
    </row>
    <row r="20" spans="2:12" ht="28.8" x14ac:dyDescent="0.3">
      <c r="B20" s="7" t="s">
        <v>123</v>
      </c>
      <c r="C20" s="4" t="s">
        <v>26</v>
      </c>
      <c r="F20" s="35"/>
      <c r="I20" s="35"/>
      <c r="J20" s="9">
        <v>2</v>
      </c>
      <c r="K20" s="36">
        <v>1</v>
      </c>
      <c r="L20" s="42" t="s">
        <v>153</v>
      </c>
    </row>
    <row r="21" spans="2:12" x14ac:dyDescent="0.3">
      <c r="B21" s="7" t="s">
        <v>155</v>
      </c>
      <c r="C21" s="4" t="s">
        <v>27</v>
      </c>
      <c r="F21" s="35"/>
      <c r="I21" s="35"/>
      <c r="J21" s="9">
        <v>2</v>
      </c>
      <c r="K21" s="36">
        <v>0.5</v>
      </c>
      <c r="L21" s="35" t="s">
        <v>156</v>
      </c>
    </row>
    <row r="22" spans="2:12" x14ac:dyDescent="0.3">
      <c r="B22" s="7" t="s">
        <v>157</v>
      </c>
      <c r="C22" s="4" t="s">
        <v>27</v>
      </c>
      <c r="F22" s="35"/>
      <c r="G22" s="9">
        <v>2</v>
      </c>
      <c r="H22" s="36">
        <v>0.5</v>
      </c>
      <c r="I22" s="35"/>
      <c r="J22" s="9">
        <v>4</v>
      </c>
      <c r="K22" s="36">
        <v>1</v>
      </c>
      <c r="L22" s="35" t="s">
        <v>166</v>
      </c>
    </row>
    <row r="23" spans="2:12" x14ac:dyDescent="0.3">
      <c r="B23" s="7" t="s">
        <v>158</v>
      </c>
      <c r="C23" s="4" t="s">
        <v>26</v>
      </c>
      <c r="F23" s="35"/>
      <c r="I23" s="35"/>
      <c r="J23" s="9">
        <v>1</v>
      </c>
      <c r="K23" s="36">
        <v>1</v>
      </c>
      <c r="L23" s="35" t="s">
        <v>159</v>
      </c>
    </row>
    <row r="24" spans="2:12" ht="28.8" x14ac:dyDescent="0.3">
      <c r="B24" s="7" t="s">
        <v>160</v>
      </c>
      <c r="C24" s="4" t="s">
        <v>26</v>
      </c>
      <c r="F24" s="35"/>
      <c r="I24" s="35"/>
      <c r="J24" s="9">
        <v>4</v>
      </c>
      <c r="K24" s="36">
        <v>0.7</v>
      </c>
      <c r="L24" s="37" t="s">
        <v>161</v>
      </c>
    </row>
    <row r="25" spans="2:12" ht="28.8" x14ac:dyDescent="0.3">
      <c r="B25" s="7" t="s">
        <v>162</v>
      </c>
      <c r="C25" s="4" t="s">
        <v>26</v>
      </c>
      <c r="F25" s="35"/>
      <c r="I25" s="35"/>
      <c r="J25" s="9">
        <v>4</v>
      </c>
      <c r="K25" s="36">
        <v>1</v>
      </c>
      <c r="L25" s="37" t="s">
        <v>163</v>
      </c>
    </row>
    <row r="26" spans="2:12" x14ac:dyDescent="0.3">
      <c r="B26" s="7" t="str" cm="1">
        <f t="array" ref="B26">IFERROR(
  INDEX(Planification!B$2:B$100,
    SMALL(
      IF(Planification!C$2:C$100="Sprint 3",
         ROW(Planification!B$2:B$100)-ROW(Planification!B$2)+1),
      ROW(A22)
    )
  ),
"")</f>
        <v/>
      </c>
      <c r="C26" s="4"/>
      <c r="F26" s="35"/>
      <c r="I26" s="35"/>
      <c r="L26" s="35"/>
    </row>
    <row r="27" spans="2:12" x14ac:dyDescent="0.3">
      <c r="B27" s="7" t="str" cm="1">
        <f t="array" ref="B27">IFERROR(
  INDEX(Planification!B$2:B$100,
    SMALL(
      IF(Planification!C$2:C$100="Sprint 3",
         ROW(Planification!B$2:B$100)-ROW(Planification!B$2)+1),
      ROW(A23)
    )
  ),
"")</f>
        <v/>
      </c>
      <c r="C27" s="4"/>
      <c r="F27" s="35"/>
      <c r="I27" s="35"/>
      <c r="L27" s="35"/>
    </row>
    <row r="28" spans="2:12" x14ac:dyDescent="0.3">
      <c r="B28" s="7" t="str" cm="1">
        <f t="array" ref="B28">IFERROR(
  INDEX(Planification!B$2:B$100,
    SMALL(
      IF(Planification!C$2:C$100="Sprint 3",
         ROW(Planification!B$2:B$100)-ROW(Planification!B$2)+1),
      ROW(A24)
    )
  ),
"")</f>
        <v/>
      </c>
      <c r="C28" s="4"/>
      <c r="F28" s="35"/>
      <c r="I28" s="35"/>
      <c r="L28" s="35"/>
    </row>
    <row r="29" spans="2:12" x14ac:dyDescent="0.3">
      <c r="B29" s="7" t="str" cm="1">
        <f t="array" ref="B29">IFERROR(
  INDEX(Planification!B$2:B$100,
    SMALL(
      IF(Planification!C$2:C$100="Sprint 3",
         ROW(Planification!B$2:B$100)-ROW(Planification!B$2)+1),
      ROW(A25)
    )
  ),
"")</f>
        <v/>
      </c>
      <c r="C29" s="4"/>
      <c r="F29" s="35"/>
      <c r="I29" s="35"/>
      <c r="L29" s="35"/>
    </row>
    <row r="30" spans="2:12" x14ac:dyDescent="0.3">
      <c r="B30" s="7" t="str" cm="1">
        <f t="array" ref="B30">IFERROR(
  INDEX(Planification!B$2:B$100,
    SMALL(
      IF(Planification!C$2:C$100="Sprint 3",
         ROW(Planification!B$2:B$100)-ROW(Planification!B$2)+1),
      ROW(A26)
    )
  ),
"")</f>
        <v/>
      </c>
      <c r="C30" s="4"/>
      <c r="F30" s="35"/>
      <c r="I30" s="35"/>
      <c r="L30" s="35"/>
    </row>
    <row r="31" spans="2:12" x14ac:dyDescent="0.3">
      <c r="B31" s="7" t="str" cm="1">
        <f t="array" ref="B31">IFERROR(
  INDEX(Planification!B$2:B$100,
    SMALL(
      IF(Planification!C$2:C$100="Sprint 3",
         ROW(Planification!B$2:B$100)-ROW(Planification!B$2)+1),
      ROW(A27)
    )
  ),
"")</f>
        <v/>
      </c>
      <c r="C31" s="4"/>
      <c r="F31" s="35"/>
      <c r="I31" s="35"/>
      <c r="L31" s="35"/>
    </row>
    <row r="32" spans="2:12" x14ac:dyDescent="0.3">
      <c r="B32" s="7" t="str" cm="1">
        <f t="array" ref="B32">IFERROR(
  INDEX(Planification!B$2:B$100,
    SMALL(
      IF(Planification!C$2:C$100="Sprint 3",
         ROW(Planification!B$2:B$100)-ROW(Planification!B$2)+1),
      ROW(A28)
    )
  ),
"")</f>
        <v/>
      </c>
      <c r="C32" s="4"/>
      <c r="F32" s="35"/>
      <c r="I32" s="35"/>
      <c r="L32" s="35"/>
    </row>
    <row r="33" spans="2:12" x14ac:dyDescent="0.3">
      <c r="B33" s="7" t="str" cm="1">
        <f t="array" ref="B33">IFERROR(
  INDEX(Planification!B$2:B$100,
    SMALL(
      IF(Planification!C$2:C$100="Sprint 3",
         ROW(Planification!B$2:B$100)-ROW(Planification!B$2)+1),
      ROW(A29)
    )
  ),
"")</f>
        <v/>
      </c>
      <c r="C33" s="4"/>
      <c r="F33" s="35"/>
      <c r="I33" s="35"/>
      <c r="L33" s="35"/>
    </row>
    <row r="34" spans="2:12" x14ac:dyDescent="0.3">
      <c r="B34" s="7" t="str" cm="1">
        <f t="array" ref="B34">IFERROR(
  INDEX(Planification!B$2:B$100,
    SMALL(
      IF(Planification!C$2:C$100="Sprint 3",
         ROW(Planification!B$2:B$100)-ROW(Planification!B$2)+1),
      ROW(A30)
    )
  ),
"")</f>
        <v/>
      </c>
      <c r="C34" s="4"/>
      <c r="F34" s="35"/>
      <c r="I34" s="35"/>
      <c r="L34" s="35"/>
    </row>
    <row r="35" spans="2:12" x14ac:dyDescent="0.3">
      <c r="B35" s="7" t="str" cm="1">
        <f t="array" ref="B35">IFERROR(
  INDEX(Planification!B$2:B$100,
    SMALL(
      IF(Planification!C$2:C$100="Sprint 3",
         ROW(Planification!B$2:B$100)-ROW(Planification!B$2)+1),
      ROW(A31)
    )
  ),
"")</f>
        <v/>
      </c>
      <c r="C35" s="4"/>
      <c r="F35" s="35"/>
      <c r="I35" s="35"/>
      <c r="L35" s="35"/>
    </row>
    <row r="36" spans="2:12" x14ac:dyDescent="0.3">
      <c r="B36" s="7" t="str" cm="1">
        <f t="array" ref="B36">IFERROR(
  INDEX(Planification!B$2:B$100,
    SMALL(
      IF(Planification!C$2:C$100="Sprint 3",
         ROW(Planification!B$2:B$100)-ROW(Planification!B$2)+1),
      ROW(A32)
    )
  ),
"")</f>
        <v/>
      </c>
      <c r="C36" s="4"/>
      <c r="F36" s="35"/>
      <c r="I36" s="35"/>
      <c r="L36" s="35"/>
    </row>
    <row r="37" spans="2:12" x14ac:dyDescent="0.3">
      <c r="B37" s="7" t="str" cm="1">
        <f t="array" ref="B37">IFERROR(
  INDEX(Planification!B$2:B$100,
    SMALL(
      IF(Planification!C$2:C$100="Sprint 3",
         ROW(Planification!B$2:B$100)-ROW(Planification!B$2)+1),
      ROW(A33)
    )
  ),
"")</f>
        <v/>
      </c>
      <c r="C37" s="4"/>
      <c r="F37" s="35"/>
      <c r="I37" s="35"/>
      <c r="L37" s="35"/>
    </row>
    <row r="38" spans="2:12" x14ac:dyDescent="0.3">
      <c r="B38" s="7" t="str" cm="1">
        <f t="array" ref="B38">IFERROR(
  INDEX(Planification!B$2:B$100,
    SMALL(
      IF(Planification!C$2:C$100="Sprint 3",
         ROW(Planification!B$2:B$100)-ROW(Planification!B$2)+1),
      ROW(A34)
    )
  ),
"")</f>
        <v/>
      </c>
      <c r="C38" s="4"/>
      <c r="F38" s="35"/>
      <c r="I38" s="35"/>
      <c r="L38" s="35"/>
    </row>
    <row r="39" spans="2:12" x14ac:dyDescent="0.3">
      <c r="B39" s="7" t="str" cm="1">
        <f t="array" ref="B39">IFERROR(
  INDEX(Planification!B$2:B$100,
    SMALL(
      IF(Planification!C$2:C$100="Sprint 3",
         ROW(Planification!B$2:B$100)-ROW(Planification!B$2)+1),
      ROW(A35)
    )
  ),
"")</f>
        <v/>
      </c>
      <c r="C39" s="4"/>
      <c r="F39" s="35"/>
      <c r="I39" s="35"/>
      <c r="L39" s="35"/>
    </row>
    <row r="40" spans="2:12" x14ac:dyDescent="0.3">
      <c r="B40" s="7" t="str" cm="1">
        <f t="array" ref="B40">IFERROR(
  INDEX(Planification!B$2:B$100,
    SMALL(
      IF(Planification!C$2:C$100="Sprint 3",
         ROW(Planification!B$2:B$100)-ROW(Planification!B$2)+1),
      ROW(A36)
    )
  ),
"")</f>
        <v/>
      </c>
      <c r="C40" s="4"/>
      <c r="F40" s="35"/>
      <c r="I40" s="35"/>
      <c r="L40" s="35"/>
    </row>
    <row r="41" spans="2:12" x14ac:dyDescent="0.3">
      <c r="B41" s="7" t="str" cm="1">
        <f t="array" ref="B41">IFERROR(
  INDEX(Planification!B$2:B$100,
    SMALL(
      IF(Planification!C$2:C$100="Sprint 3",
         ROW(Planification!B$2:B$100)-ROW(Planification!B$2)+1),
      ROW(A37)
    )
  ),
"")</f>
        <v/>
      </c>
      <c r="C41" s="4"/>
      <c r="F41" s="35"/>
      <c r="I41" s="35"/>
      <c r="L41" s="35"/>
    </row>
  </sheetData>
  <phoneticPr fontId="4" type="noConversion"/>
  <conditionalFormatting sqref="B5:L41">
    <cfRule type="expression" dxfId="5" priority="1">
      <formula>$C5="Hugo"</formula>
    </cfRule>
    <cfRule type="expression" dxfId="4" priority="2">
      <formula>$C5="Fred &amp; Hugo"</formula>
    </cfRule>
    <cfRule type="expression" dxfId="3" priority="3">
      <formula>$C5="Fred"</formula>
    </cfRule>
  </conditionalFormatting>
  <dataValidations count="1">
    <dataValidation type="list" allowBlank="1" showInputMessage="1" showErrorMessage="1" sqref="C5:C41" xr:uid="{C59634CD-B636-41EA-97F3-09DCF91949EF}">
      <formula1>Responsable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CEB1-A674-4E9A-9A60-FE266B1759EE}">
  <sheetPr>
    <tabColor rgb="FFEBE0EC"/>
  </sheetPr>
  <dimension ref="B1:O47"/>
  <sheetViews>
    <sheetView tabSelected="1" topLeftCell="D11" zoomScaleNormal="100" workbookViewId="0">
      <selection activeCell="N31" sqref="N31"/>
    </sheetView>
  </sheetViews>
  <sheetFormatPr defaultColWidth="11.5546875" defaultRowHeight="14.4" x14ac:dyDescent="0.3"/>
  <cols>
    <col min="1" max="1" width="1.6640625" customWidth="1"/>
    <col min="2" max="2" width="65.88671875" customWidth="1"/>
    <col min="3" max="3" width="17.6640625" customWidth="1"/>
    <col min="4" max="4" width="16.33203125" customWidth="1"/>
    <col min="5" max="5" width="15.5546875" customWidth="1"/>
    <col min="6" max="6" width="20.33203125" customWidth="1"/>
    <col min="8" max="8" width="16.6640625" customWidth="1"/>
    <col min="9" max="9" width="20.44140625" customWidth="1"/>
    <col min="11" max="11" width="17.109375" customWidth="1"/>
    <col min="12" max="12" width="21.77734375" bestFit="1" customWidth="1"/>
    <col min="14" max="14" width="16.33203125" customWidth="1"/>
    <col min="15" max="15" width="20.33203125" customWidth="1"/>
  </cols>
  <sheetData>
    <row r="1" spans="2:15" ht="46.2" x14ac:dyDescent="0.85">
      <c r="B1" s="22" t="s">
        <v>17</v>
      </c>
      <c r="D1" s="46" t="s">
        <v>169</v>
      </c>
      <c r="E1" s="47" t="s">
        <v>170</v>
      </c>
    </row>
    <row r="3" spans="2:15" ht="21" x14ac:dyDescent="0.4">
      <c r="B3" s="6"/>
      <c r="C3" s="3"/>
      <c r="D3" s="3" t="s">
        <v>13</v>
      </c>
      <c r="E3" s="3"/>
      <c r="F3" s="3"/>
      <c r="G3" s="3" t="s">
        <v>14</v>
      </c>
      <c r="H3" s="3"/>
      <c r="I3" s="3"/>
      <c r="J3" s="3" t="s">
        <v>15</v>
      </c>
      <c r="K3" s="3"/>
      <c r="L3" s="5"/>
      <c r="M3" s="3" t="s">
        <v>18</v>
      </c>
      <c r="N3" s="3"/>
      <c r="O3" s="5"/>
    </row>
    <row r="4" spans="2:15" ht="21" x14ac:dyDescent="0.4">
      <c r="B4" s="6" t="s">
        <v>1</v>
      </c>
      <c r="C4" s="3" t="s">
        <v>7</v>
      </c>
      <c r="D4" s="3" t="s">
        <v>10</v>
      </c>
      <c r="E4" s="3" t="s">
        <v>11</v>
      </c>
      <c r="F4" s="3" t="s">
        <v>12</v>
      </c>
      <c r="G4" s="3" t="s">
        <v>8</v>
      </c>
      <c r="H4" s="3" t="s">
        <v>9</v>
      </c>
      <c r="I4" s="3" t="s">
        <v>12</v>
      </c>
      <c r="J4" s="3" t="s">
        <v>8</v>
      </c>
      <c r="K4" s="3" t="s">
        <v>9</v>
      </c>
      <c r="L4" s="5" t="s">
        <v>12</v>
      </c>
      <c r="M4" s="3" t="s">
        <v>8</v>
      </c>
      <c r="N4" s="3" t="s">
        <v>9</v>
      </c>
      <c r="O4" s="5" t="s">
        <v>12</v>
      </c>
    </row>
    <row r="5" spans="2:15" x14ac:dyDescent="0.3">
      <c r="B5" s="45" t="s">
        <v>172</v>
      </c>
      <c r="C5" s="4" t="s">
        <v>26</v>
      </c>
      <c r="D5">
        <v>6</v>
      </c>
      <c r="E5" s="49">
        <v>0.5</v>
      </c>
      <c r="F5" s="4"/>
      <c r="G5">
        <v>6</v>
      </c>
      <c r="H5" s="49">
        <v>1</v>
      </c>
      <c r="I5" s="4"/>
      <c r="L5" s="4"/>
      <c r="O5" s="4"/>
    </row>
    <row r="6" spans="2:15" x14ac:dyDescent="0.3">
      <c r="B6" s="7" t="str" cm="1">
        <f t="array" ref="B6">IFERROR(
  INDEX(Planification!B$2:B$100,
    SMALL(
      IF(Planification!C$2:C$100="Sprint 4",
         ROW(Planification!B$2:B$100)-ROW(Planification!B$2)+1),
      ROW(A2)
    )
  ),
"")</f>
        <v>Ajout des parties jouées dans la BD</v>
      </c>
      <c r="C6" s="4" t="s">
        <v>27</v>
      </c>
      <c r="F6" s="4"/>
      <c r="I6" s="4"/>
      <c r="L6" s="4"/>
      <c r="M6">
        <v>1</v>
      </c>
      <c r="N6" s="49">
        <v>1</v>
      </c>
      <c r="O6" s="4"/>
    </row>
    <row r="7" spans="2:15" x14ac:dyDescent="0.3">
      <c r="B7" s="7" t="str" cm="1">
        <f t="array" ref="B7">IFERROR(
  INDEX(Planification!B$2:B$100,
    SMALL(
      IF(Planification!C$2:C$100="Sprint 4",
         ROW(Planification!B$2:B$100)-ROW(Planification!B$2)+1),
      ROW(A3)
    )
  ),
"")</f>
        <v>Création de la page Statistiques</v>
      </c>
      <c r="C7" s="4"/>
      <c r="F7" s="4"/>
      <c r="I7" s="4"/>
      <c r="L7" s="4"/>
      <c r="O7" s="4"/>
    </row>
    <row r="8" spans="2:15" x14ac:dyDescent="0.3">
      <c r="B8" s="7" t="str" cm="1">
        <f t="array" ref="B8">IFERROR(
  INDEX(Planification!B$2:B$100,
    SMALL(
      IF(Planification!C$2:C$100="Sprint 4",
         ROW(Planification!B$2:B$100)-ROW(Planification!B$2)+1),
      ROW(A4)
    )
  ),
"")</f>
        <v>Creation des méthodes de DAO pour les dernières parties jouées</v>
      </c>
      <c r="C8" s="4" t="s">
        <v>27</v>
      </c>
      <c r="F8" s="4"/>
      <c r="I8" s="4"/>
      <c r="L8" s="4"/>
      <c r="M8">
        <v>1</v>
      </c>
      <c r="N8" s="49">
        <v>1</v>
      </c>
      <c r="O8" s="4"/>
    </row>
    <row r="9" spans="2:15" ht="28.8" x14ac:dyDescent="0.3">
      <c r="B9" s="45" t="s">
        <v>184</v>
      </c>
      <c r="C9" s="4" t="s">
        <v>27</v>
      </c>
      <c r="F9" s="4"/>
      <c r="I9" s="4"/>
      <c r="J9">
        <v>2</v>
      </c>
      <c r="K9" s="49">
        <v>0.3</v>
      </c>
      <c r="L9" s="4"/>
      <c r="M9">
        <v>4</v>
      </c>
      <c r="N9" s="49">
        <v>1</v>
      </c>
      <c r="O9" s="4"/>
    </row>
    <row r="10" spans="2:15" x14ac:dyDescent="0.3">
      <c r="B10" s="44" t="str" cm="1">
        <f t="array" ref="B10">IFERROR(
  INDEX(Planification!B$2:B$100,
    SMALL(
      IF(Planification!C$2:C$100="Sprint 4",
         ROW(Planification!B$2:B$100)-ROW(Planification!B$2)+1),
      ROW(A6)
    )
  ),
"")</f>
        <v>Ajouter plus de religion (6) et d'artefacts (24-30)</v>
      </c>
      <c r="C10" s="4" t="s">
        <v>26</v>
      </c>
      <c r="F10" s="4"/>
      <c r="I10" s="4"/>
      <c r="J10">
        <v>2</v>
      </c>
      <c r="K10" s="49">
        <v>1</v>
      </c>
      <c r="L10" s="4" t="s">
        <v>175</v>
      </c>
      <c r="O10" s="4"/>
    </row>
    <row r="11" spans="2:15" x14ac:dyDescent="0.3">
      <c r="B11" s="7" t="str" cm="1">
        <f t="array" ref="B11">IFERROR(
  INDEX(Planification!B$2:B$100,
    SMALL(
      IF(Planification!C$2:C$100="Sprint 4",
         ROW(Planification!B$2:B$100)-ROW(Planification!B$2)+1),
      ROW(A7)
    )
  ),
"")</f>
        <v>Bonifier les gestures de partie (swipe pour roll, drag &amp; drop dé)</v>
      </c>
      <c r="C11" s="4" t="s">
        <v>26</v>
      </c>
      <c r="F11" s="4"/>
      <c r="I11" s="4"/>
      <c r="J11">
        <v>2</v>
      </c>
      <c r="K11" s="49">
        <v>1</v>
      </c>
      <c r="L11" s="4"/>
      <c r="O11" s="4"/>
    </row>
    <row r="12" spans="2:15" x14ac:dyDescent="0.3">
      <c r="B12" s="7" t="s">
        <v>178</v>
      </c>
      <c r="C12" s="4" t="s">
        <v>26</v>
      </c>
      <c r="F12" s="4"/>
      <c r="I12" s="4"/>
      <c r="L12" s="4"/>
      <c r="O12" s="4"/>
    </row>
    <row r="13" spans="2:15" x14ac:dyDescent="0.3">
      <c r="B13" s="7" t="s">
        <v>176</v>
      </c>
      <c r="C13" s="4" t="s">
        <v>26</v>
      </c>
      <c r="F13" s="4"/>
      <c r="I13" s="4"/>
      <c r="L13" s="4"/>
      <c r="M13">
        <v>5</v>
      </c>
      <c r="N13" s="49">
        <v>0.7</v>
      </c>
      <c r="O13" s="4"/>
    </row>
    <row r="14" spans="2:15" x14ac:dyDescent="0.3">
      <c r="B14" s="7" t="s">
        <v>177</v>
      </c>
      <c r="C14" s="4" t="s">
        <v>26</v>
      </c>
      <c r="F14" s="4"/>
      <c r="I14" s="4"/>
      <c r="L14" s="4"/>
      <c r="M14">
        <v>3</v>
      </c>
      <c r="N14" s="49">
        <v>1</v>
      </c>
      <c r="O14" s="4"/>
    </row>
    <row r="15" spans="2:15" x14ac:dyDescent="0.3">
      <c r="B15" s="7" t="s">
        <v>179</v>
      </c>
      <c r="C15" s="4"/>
      <c r="F15" s="4"/>
      <c r="I15" s="4"/>
      <c r="L15" s="4"/>
      <c r="O15" s="4"/>
    </row>
    <row r="16" spans="2:15" x14ac:dyDescent="0.3">
      <c r="B16" s="7" t="s">
        <v>180</v>
      </c>
      <c r="C16" s="4" t="s">
        <v>28</v>
      </c>
      <c r="F16" s="4"/>
      <c r="I16" s="4"/>
      <c r="L16" s="4"/>
      <c r="M16">
        <v>2</v>
      </c>
      <c r="N16" s="49">
        <v>1</v>
      </c>
      <c r="O16" s="4"/>
    </row>
    <row r="17" spans="2:15" x14ac:dyDescent="0.3">
      <c r="B17" s="48" t="s">
        <v>173</v>
      </c>
      <c r="C17" s="4" t="s">
        <v>26</v>
      </c>
      <c r="F17" s="4"/>
      <c r="I17" s="4"/>
      <c r="J17">
        <v>5</v>
      </c>
      <c r="K17" s="49">
        <v>1</v>
      </c>
      <c r="L17" s="4"/>
      <c r="O17" s="4"/>
    </row>
    <row r="18" spans="2:15" x14ac:dyDescent="0.3">
      <c r="B18" s="48" t="s">
        <v>174</v>
      </c>
      <c r="C18" s="4" t="s">
        <v>26</v>
      </c>
      <c r="F18" s="4"/>
      <c r="I18" s="4"/>
      <c r="J18">
        <v>5</v>
      </c>
      <c r="K18" s="49">
        <v>1</v>
      </c>
      <c r="L18" s="4"/>
      <c r="O18" s="4"/>
    </row>
    <row r="19" spans="2:15" ht="57.6" x14ac:dyDescent="0.3">
      <c r="B19" s="44" t="s">
        <v>183</v>
      </c>
      <c r="C19" s="4" t="s">
        <v>27</v>
      </c>
      <c r="F19" s="4"/>
      <c r="I19" s="4"/>
      <c r="L19" s="4"/>
      <c r="M19">
        <v>1</v>
      </c>
      <c r="N19" s="49">
        <v>0.75</v>
      </c>
      <c r="O19" s="32" t="s">
        <v>188</v>
      </c>
    </row>
    <row r="20" spans="2:15" x14ac:dyDescent="0.3">
      <c r="B20" s="44" t="str" cm="1">
        <f t="array" ref="B20">IFERROR(
  INDEX(Planification!B$2:B$100,
    SMALL(
      IF(Planification!C$2:C$100="Sprint 4",
         ROW(Planification!B$2:B$100)-ROW(Planification!B$2)+1),
      ROW(A10)
    )
  ),
"")</f>
        <v>Ajouter un tutoriel pour les nouveaux usagers</v>
      </c>
      <c r="C20" s="4"/>
      <c r="F20" s="4"/>
      <c r="I20" s="4"/>
      <c r="L20" s="4"/>
      <c r="O20" s="4"/>
    </row>
    <row r="21" spans="2:15" x14ac:dyDescent="0.3">
      <c r="B21" s="44" t="str" cm="1">
        <f t="array" ref="B21">IFERROR(
  INDEX(Planification!B$2:B$100,
    SMALL(
      IF(Planification!C$2:C$100="Sprint 4",
         ROW(Planification!B$2:B$100)-ROW(Planification!B$2)+1),
      ROW(A11)
    )
  ),
"")</f>
        <v>Ajouter un menu options (son, choix de langue)</v>
      </c>
      <c r="C21" s="4"/>
      <c r="F21" s="4"/>
      <c r="I21" s="4"/>
      <c r="L21" s="4"/>
      <c r="O21" s="4"/>
    </row>
    <row r="22" spans="2:15" x14ac:dyDescent="0.3">
      <c r="B22" s="44" t="str" cm="1">
        <f t="array" ref="B22">IFERROR(
  INDEX(Planification!B$2:B$100,
    SMALL(
      IF(Planification!C$2:C$100="Sprint 4",
         ROW(Planification!B$2:B$100)-ROW(Planification!B$2)+1),
      ROW(A13)
    )
  ),
"")</f>
        <v>Ajout d'aide au Build (Artefacts recommandés)</v>
      </c>
      <c r="C22" s="4"/>
      <c r="F22" s="4"/>
      <c r="I22" s="4"/>
      <c r="L22" s="4"/>
      <c r="O22" s="4"/>
    </row>
    <row r="23" spans="2:15" x14ac:dyDescent="0.3">
      <c r="B23" s="44" t="str" cm="1">
        <f t="array" ref="B23">IFERROR(
  INDEX(Planification!B$2:B$100,
    SMALL(
      IF(Planification!C$2:C$100="Sprint 4",
         ROW(Planification!B$2:B$100)-ROW(Planification!B$2)+1),
      ROW(A19)
    )
  ),
"")</f>
        <v/>
      </c>
      <c r="C23" s="4"/>
      <c r="F23" s="4"/>
      <c r="I23" s="4"/>
      <c r="L23" s="4"/>
      <c r="O23" s="4"/>
    </row>
    <row r="24" spans="2:15" x14ac:dyDescent="0.3">
      <c r="B24" s="7" t="s">
        <v>181</v>
      </c>
      <c r="C24" s="4" t="s">
        <v>26</v>
      </c>
      <c r="F24" s="4"/>
      <c r="I24" s="4"/>
      <c r="L24" s="4"/>
      <c r="O24" s="4"/>
    </row>
    <row r="25" spans="2:15" x14ac:dyDescent="0.3">
      <c r="B25" s="44" t="str" cm="1">
        <f t="array" ref="B25">IFERROR(
  INDEX(Planification!B$2:B$100,
    SMALL(
      IF(Planification!C$2:C$100="Sprint 4",
         ROW(Planification!B$2:B$100)-ROW(Planification!B$2)+1),
      ROW(A21)
    )
  ),
"")</f>
        <v/>
      </c>
      <c r="C25" s="4"/>
      <c r="F25" s="4"/>
      <c r="I25" s="4"/>
      <c r="L25" s="4"/>
      <c r="O25" s="4"/>
    </row>
    <row r="26" spans="2:15" x14ac:dyDescent="0.3">
      <c r="B26" s="44" t="str" cm="1">
        <f t="array" ref="B26">IFERROR(
  INDEX(Planification!B$2:B$100,
    SMALL(
      IF(Planification!C$2:C$100="Sprint 4",
         ROW(Planification!B$2:B$100)-ROW(Planification!B$2)+1),
      ROW(A22)
    )
  ),
"")</f>
        <v/>
      </c>
      <c r="C26" s="4"/>
      <c r="F26" s="4"/>
      <c r="I26" s="4"/>
      <c r="L26" s="4"/>
      <c r="O26" s="4"/>
    </row>
    <row r="27" spans="2:15" ht="28.8" x14ac:dyDescent="0.3">
      <c r="B27" s="45" t="s">
        <v>168</v>
      </c>
      <c r="C27" s="4" t="s">
        <v>26</v>
      </c>
      <c r="F27" s="4"/>
      <c r="I27" s="4"/>
      <c r="J27">
        <v>1</v>
      </c>
      <c r="K27" s="49">
        <v>1</v>
      </c>
      <c r="L27" s="4"/>
      <c r="O27" s="4"/>
    </row>
    <row r="28" spans="2:15" x14ac:dyDescent="0.3">
      <c r="B28" s="48" t="s">
        <v>171</v>
      </c>
      <c r="C28" s="4" t="s">
        <v>28</v>
      </c>
      <c r="F28" s="4"/>
      <c r="G28">
        <v>2</v>
      </c>
      <c r="H28" s="49">
        <v>1</v>
      </c>
      <c r="I28" s="4"/>
      <c r="L28" s="4"/>
      <c r="O28" s="4"/>
    </row>
    <row r="29" spans="2:15" x14ac:dyDescent="0.3">
      <c r="B29" s="7" t="s">
        <v>182</v>
      </c>
      <c r="C29" s="4" t="s">
        <v>26</v>
      </c>
      <c r="F29" s="4"/>
      <c r="I29" s="4"/>
      <c r="L29" s="4"/>
      <c r="O29" s="4"/>
    </row>
    <row r="30" spans="2:15" x14ac:dyDescent="0.3">
      <c r="B30" s="7" t="s">
        <v>185</v>
      </c>
      <c r="C30" s="4" t="s">
        <v>27</v>
      </c>
      <c r="F30" s="4"/>
      <c r="I30" s="4"/>
      <c r="J30">
        <v>2</v>
      </c>
      <c r="K30" s="49">
        <v>1</v>
      </c>
      <c r="L30" s="4"/>
      <c r="O30" s="4"/>
    </row>
    <row r="31" spans="2:15" x14ac:dyDescent="0.3">
      <c r="B31" s="7" t="s">
        <v>186</v>
      </c>
      <c r="C31" s="4" t="s">
        <v>27</v>
      </c>
      <c r="F31" s="4"/>
      <c r="I31" s="4"/>
      <c r="J31">
        <v>2</v>
      </c>
      <c r="K31" s="49">
        <v>1</v>
      </c>
      <c r="L31" s="4"/>
      <c r="M31">
        <v>2</v>
      </c>
      <c r="N31" s="49">
        <v>1</v>
      </c>
      <c r="O31" s="4"/>
    </row>
    <row r="32" spans="2:15" x14ac:dyDescent="0.3">
      <c r="B32" s="7" t="s">
        <v>187</v>
      </c>
      <c r="C32" s="4"/>
      <c r="F32" s="4"/>
      <c r="I32" s="4"/>
      <c r="L32" s="4"/>
      <c r="O32" s="4"/>
    </row>
    <row r="33" spans="2:15" x14ac:dyDescent="0.3">
      <c r="B33" s="7" t="str" cm="1">
        <f t="array" ref="B33">IFERROR(
  INDEX(Planification!B$2:B$100,
    SMALL(
      IF(Planification!C$2:C$100="Sprint 4",
         ROW(Planification!B$2:B$100)-ROW(Planification!B$2)+1),
      ROW(A29)
    )
  ),
"")</f>
        <v/>
      </c>
      <c r="C33" s="4"/>
      <c r="F33" s="4"/>
      <c r="I33" s="4"/>
      <c r="L33" s="4"/>
      <c r="O33" s="4"/>
    </row>
    <row r="34" spans="2:15" x14ac:dyDescent="0.3">
      <c r="B34" s="7" t="str" cm="1">
        <f t="array" ref="B34">IFERROR(
  INDEX(Planification!B$2:B$100,
    SMALL(
      IF(Planification!C$2:C$100="Sprint 4",
         ROW(Planification!B$2:B$100)-ROW(Planification!B$2)+1),
      ROW(A30)
    )
  ),
"")</f>
        <v/>
      </c>
      <c r="C34" s="4"/>
      <c r="F34" s="4"/>
      <c r="I34" s="4"/>
      <c r="L34" s="4"/>
      <c r="O34" s="4"/>
    </row>
    <row r="35" spans="2:15" x14ac:dyDescent="0.3">
      <c r="B35" s="7" t="str" cm="1">
        <f t="array" ref="B35">IFERROR(
  INDEX(Planification!B$2:B$100,
    SMALL(
      IF(Planification!C$2:C$100="Sprint 4",
         ROW(Planification!B$2:B$100)-ROW(Planification!B$2)+1),
      ROW(A31)
    )
  ),
"")</f>
        <v/>
      </c>
      <c r="C35" s="4"/>
      <c r="F35" s="4"/>
      <c r="I35" s="4"/>
      <c r="L35" s="4"/>
      <c r="O35" s="4"/>
    </row>
    <row r="36" spans="2:15" x14ac:dyDescent="0.3">
      <c r="B36" s="7" t="str" cm="1">
        <f t="array" ref="B36">IFERROR(
  INDEX(Planification!B$2:B$100,
    SMALL(
      IF(Planification!C$2:C$100="Sprint 4",
         ROW(Planification!B$2:B$100)-ROW(Planification!B$2)+1),
      ROW(A32)
    )
  ),
"")</f>
        <v/>
      </c>
      <c r="C36" s="4"/>
      <c r="F36" s="4"/>
      <c r="I36" s="4"/>
      <c r="L36" s="4"/>
      <c r="O36" s="4"/>
    </row>
    <row r="37" spans="2:15" x14ac:dyDescent="0.3">
      <c r="B37" s="7" t="str" cm="1">
        <f t="array" ref="B37">IFERROR(
  INDEX(Planification!B$2:B$100,
    SMALL(
      IF(Planification!C$2:C$100="Sprint 4",
         ROW(Planification!B$2:B$100)-ROW(Planification!B$2)+1),
      ROW(A33)
    )
  ),
"")</f>
        <v/>
      </c>
      <c r="C37" s="4"/>
      <c r="F37" s="4"/>
      <c r="I37" s="4"/>
      <c r="L37" s="4"/>
      <c r="O37" s="4"/>
    </row>
    <row r="38" spans="2:15" x14ac:dyDescent="0.3">
      <c r="B38" s="7" t="str" cm="1">
        <f t="array" ref="B38">IFERROR(
  INDEX(Planification!B$2:B$100,
    SMALL(
      IF(Planification!C$2:C$100="Sprint 4",
         ROW(Planification!B$2:B$100)-ROW(Planification!B$2)+1),
      ROW(A34)
    )
  ),
"")</f>
        <v/>
      </c>
      <c r="C38" s="4"/>
      <c r="F38" s="4"/>
      <c r="I38" s="4"/>
      <c r="L38" s="4"/>
      <c r="O38" s="4"/>
    </row>
    <row r="39" spans="2:15" x14ac:dyDescent="0.3">
      <c r="B39" s="7" t="str" cm="1">
        <f t="array" ref="B39">IFERROR(
  INDEX(Planification!B$2:B$100,
    SMALL(
      IF(Planification!C$2:C$100="Sprint 4",
         ROW(Planification!B$2:B$100)-ROW(Planification!B$2)+1),
      ROW(A35)
    )
  ),
"")</f>
        <v/>
      </c>
      <c r="C39" s="4"/>
      <c r="F39" s="4"/>
      <c r="I39" s="4"/>
      <c r="L39" s="4"/>
      <c r="O39" s="4"/>
    </row>
    <row r="40" spans="2:15" x14ac:dyDescent="0.3">
      <c r="B40" s="7" t="str" cm="1">
        <f t="array" ref="B40">IFERROR(
  INDEX(Planification!B$2:B$100,
    SMALL(
      IF(Planification!C$2:C$100="Sprint 4",
         ROW(Planification!B$2:B$100)-ROW(Planification!B$2)+1),
      ROW(A36)
    )
  ),
"")</f>
        <v/>
      </c>
      <c r="C40" s="4"/>
      <c r="F40" s="4"/>
      <c r="I40" s="4"/>
      <c r="L40" s="4"/>
      <c r="O40" s="4"/>
    </row>
    <row r="41" spans="2:15" x14ac:dyDescent="0.3">
      <c r="B41" s="7" t="str" cm="1">
        <f t="array" ref="B41">IFERROR(
  INDEX(Planification!B$2:B$100,
    SMALL(
      IF(Planification!C$2:C$100="Sprint 4",
         ROW(Planification!B$2:B$100)-ROW(Planification!B$2)+1),
      ROW(A37)
    )
  ),
"")</f>
        <v/>
      </c>
      <c r="C41" s="4"/>
      <c r="F41" s="4"/>
      <c r="I41" s="4"/>
      <c r="L41" s="4"/>
      <c r="O41" s="4"/>
    </row>
    <row r="42" spans="2:15" x14ac:dyDescent="0.3">
      <c r="B42" s="7" t="str" cm="1">
        <f t="array" ref="B42">IFERROR(
  INDEX(Planification!B$2:B$100,
    SMALL(
      IF(Planification!C$2:C$100="Sprint 4",
         ROW(Planification!B$2:B$100)-ROW(Planification!B$2)+1),
      ROW(A38)
    )
  ),
"")</f>
        <v/>
      </c>
      <c r="C42" s="4"/>
      <c r="F42" s="4"/>
      <c r="I42" s="4"/>
      <c r="L42" s="4"/>
      <c r="O42" s="4"/>
    </row>
    <row r="43" spans="2:15" x14ac:dyDescent="0.3">
      <c r="B43" s="7" t="str" cm="1">
        <f t="array" ref="B43">IFERROR(
  INDEX(Planification!B$2:B$100,
    SMALL(
      IF(Planification!C$2:C$100="Sprint 4",
         ROW(Planification!B$2:B$100)-ROW(Planification!B$2)+1),
      ROW(A39)
    )
  ),
"")</f>
        <v/>
      </c>
      <c r="C43" s="4"/>
      <c r="F43" s="4"/>
      <c r="I43" s="4"/>
      <c r="L43" s="4"/>
      <c r="O43" s="4"/>
    </row>
    <row r="44" spans="2:15" x14ac:dyDescent="0.3">
      <c r="B44" s="7" t="str" cm="1">
        <f t="array" ref="B44">IFERROR(
  INDEX(Planification!B$2:B$100,
    SMALL(
      IF(Planification!C$2:C$100="Sprint 4",
         ROW(Planification!B$2:B$100)-ROW(Planification!B$2)+1),
      ROW(A40)
    )
  ),
"")</f>
        <v/>
      </c>
      <c r="C44" s="4"/>
      <c r="F44" s="4"/>
      <c r="I44" s="4"/>
      <c r="L44" s="4"/>
      <c r="O44" s="4"/>
    </row>
    <row r="45" spans="2:15" x14ac:dyDescent="0.3">
      <c r="B45" s="7" t="str" cm="1">
        <f t="array" ref="B45">IFERROR(
  INDEX(Planification!B$2:B$100,
    SMALL(
      IF(Planification!C$2:C$100="Sprint 4",
         ROW(Planification!B$2:B$100)-ROW(Planification!B$2)+1),
      ROW(A41)
    )
  ),
"")</f>
        <v/>
      </c>
      <c r="C45" s="4"/>
      <c r="F45" s="4"/>
      <c r="I45" s="4"/>
      <c r="L45" s="4"/>
      <c r="O45" s="4"/>
    </row>
    <row r="46" spans="2:15" x14ac:dyDescent="0.3">
      <c r="B46" s="7" t="str" cm="1">
        <f t="array" ref="B46">IFERROR(
  INDEX(Planification!B$2:B$100,
    SMALL(
      IF(Planification!C$2:C$100="Sprint 4",
         ROW(Planification!B$2:B$100)-ROW(Planification!B$2)+1),
      ROW(A42)
    )
  ),
"")</f>
        <v/>
      </c>
      <c r="C46" s="4"/>
      <c r="F46" s="4"/>
      <c r="I46" s="4"/>
      <c r="L46" s="4"/>
      <c r="O46" s="4"/>
    </row>
    <row r="47" spans="2:15" x14ac:dyDescent="0.3">
      <c r="B47" s="7" t="str" cm="1">
        <f t="array" ref="B47">IFERROR(
  INDEX(Planification!B$2:B$100,
    SMALL(
      IF(Planification!C$2:C$100="Sprint 4",
         ROW(Planification!B$2:B$100)-ROW(Planification!B$2)+1),
      ROW(A43)
    )
  ),
"")</f>
        <v/>
      </c>
      <c r="C47" s="4"/>
      <c r="F47" s="4"/>
      <c r="I47" s="4"/>
      <c r="L47" s="4"/>
      <c r="O47" s="4"/>
    </row>
  </sheetData>
  <conditionalFormatting sqref="B5:O47">
    <cfRule type="expression" dxfId="2" priority="1">
      <formula>$C5="Hugo"</formula>
    </cfRule>
    <cfRule type="expression" dxfId="1" priority="2">
      <formula>$C5="Fred &amp; Hugo"</formula>
    </cfRule>
    <cfRule type="expression" dxfId="0" priority="3">
      <formula>$C5="Fred"</formula>
    </cfRule>
  </conditionalFormatting>
  <dataValidations count="1">
    <dataValidation type="list" allowBlank="1" showInputMessage="1" showErrorMessage="1" sqref="C5:C47" xr:uid="{6F240A0C-07D3-4DB4-9A0E-3E6A82C020F6}">
      <formula1>Responsable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Planification</vt:lpstr>
      <vt:lpstr>Sprint 1</vt:lpstr>
      <vt:lpstr>Source</vt:lpstr>
      <vt:lpstr>Sprint 2</vt:lpstr>
      <vt:lpstr>Mi-mandat</vt:lpstr>
      <vt:lpstr>Sprint 3</vt:lpstr>
      <vt:lpstr>Sprint 4</vt:lpstr>
      <vt:lpstr>Responsable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Hugo Beaulieu</cp:lastModifiedBy>
  <dcterms:created xsi:type="dcterms:W3CDTF">2023-07-17T14:17:57Z</dcterms:created>
  <dcterms:modified xsi:type="dcterms:W3CDTF">2025-12-18T04:04:24Z</dcterms:modified>
</cp:coreProperties>
</file>